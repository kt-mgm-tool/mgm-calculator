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MGM\"/>
    </mc:Choice>
  </mc:AlternateContent>
  <xr:revisionPtr revIDLastSave="0" documentId="8_{2713BCEC-EE7C-47CF-BEE7-F0EFB0FEBDCD}" xr6:coauthVersionLast="47" xr6:coauthVersionMax="47" xr10:uidLastSave="{00000000-0000-0000-0000-000000000000}"/>
  <bookViews>
    <workbookView xWindow="-108" yWindow="-108" windowWidth="23256" windowHeight="12456" tabRatio="892" firstSheet="8" activeTab="8" xr2:uid="{00000000-000D-0000-FFFF-FFFF00000000}"/>
  </bookViews>
  <sheets>
    <sheet name="그린폰단가" sheetId="93" state="veryHidden" r:id="rId1"/>
    <sheet name="안내" sheetId="178" state="hidden" r:id="rId2"/>
    <sheet name="주요정책 및 유의사항" sheetId="162" state="hidden" r:id="rId3"/>
    <sheet name="Sheet1" sheetId="167" state="hidden" r:id="rId4"/>
    <sheet name="사내 MGM_1Q 1호(0101 ~)" sheetId="174" state="hidden" r:id="rId5"/>
    <sheet name="Sheet3" sheetId="180" state="hidden" r:id="rId6"/>
    <sheet name="Sheet2" sheetId="179" state="hidden" r:id="rId7"/>
    <sheet name="개별접수 URL" sheetId="173" state="hidden" r:id="rId8"/>
    <sheet name="사내 MGM_1Q 2호(0311 ~) (2)" sheetId="181" r:id="rId9"/>
    <sheet name="공시지원금" sheetId="177" state="hidden" r:id="rId10"/>
    <sheet name="정책적용 요금제_LTE" sheetId="166" state="hidden" r:id="rId11"/>
    <sheet name="정책적용 요금제_5G" sheetId="175" state="hidden" r:id="rId12"/>
    <sheet name="전환지원금_47K미만" sheetId="176" state="hidden" r:id="rId13"/>
    <sheet name="출고가" sheetId="164" state="hidden" r:id="rId14"/>
    <sheet name="구분자" sheetId="143" state="hidden" r:id="rId15"/>
    <sheet name="정책서 정리" sheetId="101" state="veryHidden" r:id="rId16"/>
  </sheets>
  <externalReferences>
    <externalReference r:id="rId17"/>
    <externalReference r:id="rId18"/>
  </externalReferences>
  <definedNames>
    <definedName name="_xlnm._FilterDatabase" localSheetId="4" hidden="1">'사내 MGM_1Q 1호(0101 ~)'!$A$8:$W$205</definedName>
    <definedName name="_xlnm._FilterDatabase" localSheetId="8" hidden="1">'사내 MGM_1Q 2호(0311 ~) (2)'!$A$2:$O$217</definedName>
    <definedName name="_xlnm.Print_Area" localSheetId="4">'사내 MGM_1Q 1호(0101 ~)'!$D$1:$T$205</definedName>
    <definedName name="_xlnm.Print_Area" localSheetId="8">'사내 MGM_1Q 2호(0311 ~) (2)'!$D$1:$M$217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7" i="181" l="1"/>
  <c r="G217" i="181" s="1"/>
  <c r="F216" i="181"/>
  <c r="G216" i="181" s="1"/>
  <c r="F215" i="181"/>
  <c r="G215" i="181" s="1"/>
  <c r="F213" i="181"/>
  <c r="G213" i="181" s="1"/>
  <c r="F212" i="181"/>
  <c r="G212" i="181" s="1"/>
  <c r="F211" i="181"/>
  <c r="G211" i="181" s="1"/>
  <c r="F209" i="181"/>
  <c r="G209" i="181" s="1"/>
  <c r="F208" i="181"/>
  <c r="G208" i="181" s="1"/>
  <c r="F207" i="181"/>
  <c r="G207" i="181" s="1"/>
  <c r="F205" i="181"/>
  <c r="G205" i="181" s="1"/>
  <c r="F204" i="181"/>
  <c r="G204" i="181" s="1"/>
  <c r="F203" i="181"/>
  <c r="G203" i="181" s="1"/>
  <c r="F201" i="181"/>
  <c r="G201" i="181" s="1"/>
  <c r="F200" i="181"/>
  <c r="G200" i="181" s="1"/>
  <c r="F199" i="181"/>
  <c r="G199" i="181" s="1"/>
  <c r="F197" i="181"/>
  <c r="G197" i="181" s="1"/>
  <c r="F196" i="181"/>
  <c r="G196" i="181" s="1"/>
  <c r="F195" i="181"/>
  <c r="G195" i="181" s="1"/>
  <c r="F193" i="181"/>
  <c r="G193" i="181" s="1"/>
  <c r="F192" i="181"/>
  <c r="G192" i="181" s="1"/>
  <c r="F191" i="181"/>
  <c r="G191" i="181" s="1"/>
  <c r="F189" i="181"/>
  <c r="G189" i="181" s="1"/>
  <c r="F188" i="181"/>
  <c r="G188" i="181" s="1"/>
  <c r="F187" i="181"/>
  <c r="G187" i="181" s="1"/>
  <c r="F185" i="181"/>
  <c r="G185" i="181" s="1"/>
  <c r="F184" i="181"/>
  <c r="G184" i="181" s="1"/>
  <c r="F183" i="181"/>
  <c r="G183" i="181" s="1"/>
  <c r="F190" i="181"/>
  <c r="G190" i="181"/>
  <c r="F181" i="181"/>
  <c r="G181" i="181" s="1"/>
  <c r="F180" i="181"/>
  <c r="G180" i="181" s="1"/>
  <c r="F179" i="181"/>
  <c r="G179" i="181" s="1"/>
  <c r="F177" i="181"/>
  <c r="G177" i="181" s="1"/>
  <c r="F176" i="181"/>
  <c r="G176" i="181" s="1"/>
  <c r="F175" i="181"/>
  <c r="G175" i="181" s="1"/>
  <c r="F173" i="181"/>
  <c r="G173" i="181" s="1"/>
  <c r="F172" i="181"/>
  <c r="G172" i="181" s="1"/>
  <c r="F171" i="181"/>
  <c r="G171" i="181" s="1"/>
  <c r="F169" i="181"/>
  <c r="G169" i="181" s="1"/>
  <c r="F168" i="181"/>
  <c r="G168" i="181" s="1"/>
  <c r="F167" i="181"/>
  <c r="G167" i="181" s="1"/>
  <c r="F165" i="181"/>
  <c r="G165" i="181" s="1"/>
  <c r="F164" i="181"/>
  <c r="G164" i="181" s="1"/>
  <c r="F163" i="181"/>
  <c r="G163" i="181" s="1"/>
  <c r="F161" i="181"/>
  <c r="G161" i="181" s="1"/>
  <c r="F160" i="181"/>
  <c r="G160" i="181" s="1"/>
  <c r="F159" i="181"/>
  <c r="G159" i="181" s="1"/>
  <c r="F157" i="181"/>
  <c r="G157" i="181" s="1"/>
  <c r="F156" i="181"/>
  <c r="G156" i="181" s="1"/>
  <c r="F155" i="181"/>
  <c r="G155" i="181" s="1"/>
  <c r="F153" i="181"/>
  <c r="G153" i="181" s="1"/>
  <c r="F152" i="181"/>
  <c r="G152" i="181" s="1"/>
  <c r="F151" i="181"/>
  <c r="G151" i="181" s="1"/>
  <c r="F149" i="181"/>
  <c r="G149" i="181" s="1"/>
  <c r="F148" i="181"/>
  <c r="G148" i="181" s="1"/>
  <c r="F147" i="181"/>
  <c r="G147" i="181" s="1"/>
  <c r="F145" i="181"/>
  <c r="G145" i="181" s="1"/>
  <c r="F144" i="181"/>
  <c r="G144" i="181" s="1"/>
  <c r="F143" i="181"/>
  <c r="G143" i="181" s="1"/>
  <c r="F141" i="181"/>
  <c r="G141" i="181" s="1"/>
  <c r="F140" i="181"/>
  <c r="G140" i="181" s="1"/>
  <c r="F139" i="181"/>
  <c r="G139" i="181" s="1"/>
  <c r="F137" i="181"/>
  <c r="G137" i="181" s="1"/>
  <c r="F136" i="181"/>
  <c r="G136" i="181" s="1"/>
  <c r="F135" i="181"/>
  <c r="G135" i="181" s="1"/>
  <c r="F133" i="181"/>
  <c r="G133" i="181" s="1"/>
  <c r="F132" i="181"/>
  <c r="G132" i="181" s="1"/>
  <c r="F131" i="181"/>
  <c r="G131" i="181" s="1"/>
  <c r="F129" i="181"/>
  <c r="G129" i="181" s="1"/>
  <c r="F128" i="181"/>
  <c r="G128" i="181" s="1"/>
  <c r="F127" i="181"/>
  <c r="G127" i="181" s="1"/>
  <c r="G125" i="181"/>
  <c r="F125" i="181"/>
  <c r="F124" i="181"/>
  <c r="G124" i="181" s="1"/>
  <c r="F123" i="181"/>
  <c r="G123" i="181" s="1"/>
  <c r="F121" i="181"/>
  <c r="G121" i="181" s="1"/>
  <c r="F120" i="181"/>
  <c r="G120" i="181" s="1"/>
  <c r="F119" i="181"/>
  <c r="G119" i="181" s="1"/>
  <c r="F117" i="181"/>
  <c r="G117" i="181" s="1"/>
  <c r="F116" i="181"/>
  <c r="G116" i="181" s="1"/>
  <c r="F115" i="181"/>
  <c r="G115" i="181" s="1"/>
  <c r="F113" i="181"/>
  <c r="G113" i="181" s="1"/>
  <c r="F112" i="181"/>
  <c r="G112" i="181" s="1"/>
  <c r="F111" i="181"/>
  <c r="G111" i="181" s="1"/>
  <c r="F109" i="181"/>
  <c r="G109" i="181" s="1"/>
  <c r="F108" i="181"/>
  <c r="G108" i="181" s="1"/>
  <c r="F107" i="181"/>
  <c r="G107" i="181" s="1"/>
  <c r="F105" i="181"/>
  <c r="G105" i="181" s="1"/>
  <c r="F104" i="181"/>
  <c r="G104" i="181" s="1"/>
  <c r="F103" i="181"/>
  <c r="G103" i="181" s="1"/>
  <c r="F101" i="181"/>
  <c r="G101" i="181" s="1"/>
  <c r="F100" i="181"/>
  <c r="G100" i="181" s="1"/>
  <c r="F99" i="181"/>
  <c r="G99" i="181" s="1"/>
  <c r="F97" i="181"/>
  <c r="G97" i="181" s="1"/>
  <c r="F96" i="181"/>
  <c r="G96" i="181" s="1"/>
  <c r="F95" i="181"/>
  <c r="G95" i="181" s="1"/>
  <c r="F93" i="181"/>
  <c r="G93" i="181" s="1"/>
  <c r="F92" i="181"/>
  <c r="G92" i="181" s="1"/>
  <c r="F91" i="181"/>
  <c r="G91" i="181" s="1"/>
  <c r="F89" i="181"/>
  <c r="G89" i="181" s="1"/>
  <c r="F88" i="181"/>
  <c r="G88" i="181" s="1"/>
  <c r="F87" i="181"/>
  <c r="G87" i="181" s="1"/>
  <c r="F85" i="181"/>
  <c r="G85" i="181" s="1"/>
  <c r="F84" i="181"/>
  <c r="G84" i="181" s="1"/>
  <c r="F83" i="181"/>
  <c r="G83" i="181" s="1"/>
  <c r="F81" i="181"/>
  <c r="G81" i="181" s="1"/>
  <c r="F80" i="181"/>
  <c r="G80" i="181" s="1"/>
  <c r="F79" i="181"/>
  <c r="G79" i="181" s="1"/>
  <c r="F74" i="181"/>
  <c r="G74" i="181" s="1"/>
  <c r="F71" i="181"/>
  <c r="G71" i="181" s="1"/>
  <c r="F68" i="181"/>
  <c r="G68" i="181" s="1"/>
  <c r="F65" i="181"/>
  <c r="G65" i="181" s="1"/>
  <c r="F62" i="181"/>
  <c r="G62" i="181" s="1"/>
  <c r="F61" i="181"/>
  <c r="G61" i="181" s="1"/>
  <c r="F60" i="181"/>
  <c r="G60" i="181" s="1"/>
  <c r="F58" i="181"/>
  <c r="G58" i="181" s="1"/>
  <c r="F57" i="181"/>
  <c r="G57" i="181" s="1"/>
  <c r="F56" i="181"/>
  <c r="G56" i="181" s="1"/>
  <c r="F54" i="181"/>
  <c r="G54" i="181" s="1"/>
  <c r="F53" i="181"/>
  <c r="G53" i="181" s="1"/>
  <c r="F52" i="181"/>
  <c r="G52" i="181" s="1"/>
  <c r="F50" i="181"/>
  <c r="G50" i="181" s="1"/>
  <c r="F49" i="181"/>
  <c r="G49" i="181" s="1"/>
  <c r="F48" i="181"/>
  <c r="G48" i="181" s="1"/>
  <c r="F46" i="181"/>
  <c r="G46" i="181" s="1"/>
  <c r="F45" i="181"/>
  <c r="G45" i="181" s="1"/>
  <c r="F44" i="181"/>
  <c r="G44" i="181" s="1"/>
  <c r="F42" i="181"/>
  <c r="G42" i="181" s="1"/>
  <c r="F41" i="181"/>
  <c r="G41" i="181" s="1"/>
  <c r="F40" i="181"/>
  <c r="G40" i="181" s="1"/>
  <c r="F38" i="181"/>
  <c r="G38" i="181" s="1"/>
  <c r="F37" i="181"/>
  <c r="G37" i="181" s="1"/>
  <c r="F36" i="181"/>
  <c r="G36" i="181" s="1"/>
  <c r="F34" i="181"/>
  <c r="G34" i="181" s="1"/>
  <c r="F33" i="181"/>
  <c r="G33" i="181" s="1"/>
  <c r="F32" i="181"/>
  <c r="G32" i="181" s="1"/>
  <c r="F30" i="181"/>
  <c r="G30" i="181" s="1"/>
  <c r="F29" i="181"/>
  <c r="G29" i="181" s="1"/>
  <c r="F28" i="181"/>
  <c r="G28" i="181" s="1"/>
  <c r="F26" i="181"/>
  <c r="G26" i="181" s="1"/>
  <c r="F25" i="181"/>
  <c r="G25" i="181" s="1"/>
  <c r="F24" i="181"/>
  <c r="G24" i="181" s="1"/>
  <c r="F22" i="181"/>
  <c r="G22" i="181" s="1"/>
  <c r="F21" i="181"/>
  <c r="G21" i="181" s="1"/>
  <c r="F20" i="181"/>
  <c r="G20" i="181" s="1"/>
  <c r="F18" i="181"/>
  <c r="G18" i="181" s="1"/>
  <c r="F17" i="181"/>
  <c r="G17" i="181" s="1"/>
  <c r="F16" i="181"/>
  <c r="G16" i="181" s="1"/>
  <c r="F14" i="181"/>
  <c r="G14" i="181" s="1"/>
  <c r="F13" i="181"/>
  <c r="G13" i="181" s="1"/>
  <c r="F12" i="181"/>
  <c r="G12" i="181" s="1"/>
  <c r="F10" i="181"/>
  <c r="G10" i="181" s="1"/>
  <c r="F9" i="181"/>
  <c r="G9" i="181" s="1"/>
  <c r="F8" i="181"/>
  <c r="G8" i="181" s="1"/>
  <c r="C74" i="181"/>
  <c r="B74" i="181"/>
  <c r="H74" i="181" s="1"/>
  <c r="C73" i="181"/>
  <c r="B73" i="181"/>
  <c r="F72" i="181"/>
  <c r="G72" i="181" s="1"/>
  <c r="C72" i="181"/>
  <c r="B72" i="181"/>
  <c r="H72" i="181" s="1"/>
  <c r="C68" i="181"/>
  <c r="B68" i="181"/>
  <c r="C67" i="181"/>
  <c r="B67" i="181"/>
  <c r="F66" i="181"/>
  <c r="G66" i="181" s="1"/>
  <c r="C66" i="181"/>
  <c r="B66" i="181"/>
  <c r="H68" i="181" l="1"/>
  <c r="H66" i="181"/>
  <c r="C18" i="181"/>
  <c r="B18" i="181"/>
  <c r="C17" i="181"/>
  <c r="B17" i="181"/>
  <c r="C16" i="181"/>
  <c r="B16" i="181"/>
  <c r="F15" i="181"/>
  <c r="G15" i="181" s="1"/>
  <c r="C15" i="181"/>
  <c r="B15" i="181"/>
  <c r="C14" i="181"/>
  <c r="B14" i="181"/>
  <c r="C13" i="181"/>
  <c r="B13" i="181"/>
  <c r="C12" i="181"/>
  <c r="B12" i="181"/>
  <c r="F11" i="181"/>
  <c r="G11" i="181" s="1"/>
  <c r="C11" i="181"/>
  <c r="B11" i="181"/>
  <c r="C10" i="181"/>
  <c r="B10" i="181"/>
  <c r="C9" i="181"/>
  <c r="B9" i="181"/>
  <c r="C8" i="181"/>
  <c r="B8" i="181"/>
  <c r="F7" i="181"/>
  <c r="G7" i="181" s="1"/>
  <c r="C7" i="181"/>
  <c r="B7" i="181"/>
  <c r="C117" i="181"/>
  <c r="B117" i="181"/>
  <c r="C116" i="181"/>
  <c r="B116" i="181"/>
  <c r="C115" i="181"/>
  <c r="B115" i="181"/>
  <c r="F114" i="181"/>
  <c r="G114" i="181" s="1"/>
  <c r="C114" i="181"/>
  <c r="B114" i="181"/>
  <c r="C113" i="181"/>
  <c r="B113" i="181"/>
  <c r="C112" i="181"/>
  <c r="B112" i="181"/>
  <c r="C111" i="181"/>
  <c r="B111" i="181"/>
  <c r="F110" i="181"/>
  <c r="G110" i="181" s="1"/>
  <c r="C110" i="181"/>
  <c r="B110" i="181"/>
  <c r="C217" i="181"/>
  <c r="B217" i="181"/>
  <c r="C216" i="181"/>
  <c r="B216" i="181"/>
  <c r="C215" i="181"/>
  <c r="B215" i="181"/>
  <c r="F214" i="181"/>
  <c r="G214" i="181" s="1"/>
  <c r="C214" i="181"/>
  <c r="B214" i="181"/>
  <c r="C213" i="181"/>
  <c r="B213" i="181"/>
  <c r="C212" i="181"/>
  <c r="B212" i="181"/>
  <c r="C211" i="181"/>
  <c r="B211" i="181"/>
  <c r="F210" i="181"/>
  <c r="G210" i="181" s="1"/>
  <c r="C210" i="181"/>
  <c r="B210" i="181"/>
  <c r="C209" i="181"/>
  <c r="B209" i="181"/>
  <c r="C208" i="181"/>
  <c r="B208" i="181"/>
  <c r="C207" i="181"/>
  <c r="B207" i="181"/>
  <c r="F206" i="181"/>
  <c r="G206" i="181" s="1"/>
  <c r="C206" i="181"/>
  <c r="B206" i="181"/>
  <c r="C205" i="181"/>
  <c r="B205" i="181"/>
  <c r="C204" i="181"/>
  <c r="B204" i="181"/>
  <c r="C203" i="181"/>
  <c r="B203" i="181"/>
  <c r="F202" i="181"/>
  <c r="G202" i="181" s="1"/>
  <c r="C202" i="181"/>
  <c r="B202" i="181"/>
  <c r="C201" i="181"/>
  <c r="B201" i="181"/>
  <c r="C200" i="181"/>
  <c r="B200" i="181"/>
  <c r="C199" i="181"/>
  <c r="B199" i="181"/>
  <c r="F198" i="181"/>
  <c r="G198" i="181" s="1"/>
  <c r="C198" i="181"/>
  <c r="B198" i="181"/>
  <c r="C197" i="181"/>
  <c r="B197" i="181"/>
  <c r="C196" i="181"/>
  <c r="B196" i="181"/>
  <c r="C195" i="181"/>
  <c r="B195" i="181"/>
  <c r="F194" i="181"/>
  <c r="G194" i="181" s="1"/>
  <c r="C194" i="181"/>
  <c r="B194" i="181"/>
  <c r="C193" i="181"/>
  <c r="B193" i="181"/>
  <c r="C192" i="181"/>
  <c r="B192" i="181"/>
  <c r="C191" i="181"/>
  <c r="B191" i="181"/>
  <c r="C190" i="181"/>
  <c r="B190" i="181"/>
  <c r="C189" i="181"/>
  <c r="B189" i="181"/>
  <c r="C188" i="181"/>
  <c r="B188" i="181"/>
  <c r="C187" i="181"/>
  <c r="B187" i="181"/>
  <c r="F186" i="181"/>
  <c r="G186" i="181" s="1"/>
  <c r="C186" i="181"/>
  <c r="B186" i="181"/>
  <c r="C185" i="181"/>
  <c r="B185" i="181"/>
  <c r="C184" i="181"/>
  <c r="B184" i="181"/>
  <c r="C183" i="181"/>
  <c r="B183" i="181"/>
  <c r="F182" i="181"/>
  <c r="G182" i="181" s="1"/>
  <c r="C182" i="181"/>
  <c r="B182" i="181"/>
  <c r="C181" i="181"/>
  <c r="B181" i="181"/>
  <c r="C180" i="181"/>
  <c r="B180" i="181"/>
  <c r="C179" i="181"/>
  <c r="B179" i="181"/>
  <c r="F178" i="181"/>
  <c r="G178" i="181" s="1"/>
  <c r="C178" i="181"/>
  <c r="B178" i="181"/>
  <c r="C177" i="181"/>
  <c r="B177" i="181"/>
  <c r="C176" i="181"/>
  <c r="B176" i="181"/>
  <c r="C175" i="181"/>
  <c r="B175" i="181"/>
  <c r="F174" i="181"/>
  <c r="G174" i="181" s="1"/>
  <c r="C174" i="181"/>
  <c r="B174" i="181"/>
  <c r="C173" i="181"/>
  <c r="B173" i="181"/>
  <c r="C172" i="181"/>
  <c r="B172" i="181"/>
  <c r="C171" i="181"/>
  <c r="B171" i="181"/>
  <c r="F170" i="181"/>
  <c r="G170" i="181" s="1"/>
  <c r="C170" i="181"/>
  <c r="B170" i="181"/>
  <c r="C169" i="181"/>
  <c r="B169" i="181"/>
  <c r="C168" i="181"/>
  <c r="B168" i="181"/>
  <c r="C167" i="181"/>
  <c r="B167" i="181"/>
  <c r="F166" i="181"/>
  <c r="G166" i="181" s="1"/>
  <c r="C166" i="181"/>
  <c r="B166" i="181"/>
  <c r="C165" i="181"/>
  <c r="B165" i="181"/>
  <c r="C164" i="181"/>
  <c r="B164" i="181"/>
  <c r="C163" i="181"/>
  <c r="B163" i="181"/>
  <c r="F162" i="181"/>
  <c r="G162" i="181" s="1"/>
  <c r="C162" i="181"/>
  <c r="B162" i="181"/>
  <c r="C161" i="181"/>
  <c r="B161" i="181"/>
  <c r="C160" i="181"/>
  <c r="B160" i="181"/>
  <c r="C159" i="181"/>
  <c r="B159" i="181"/>
  <c r="F158" i="181"/>
  <c r="G158" i="181" s="1"/>
  <c r="C158" i="181"/>
  <c r="B158" i="181"/>
  <c r="C157" i="181"/>
  <c r="B157" i="181"/>
  <c r="C156" i="181"/>
  <c r="B156" i="181"/>
  <c r="C155" i="181"/>
  <c r="B155" i="181"/>
  <c r="F154" i="181"/>
  <c r="G154" i="181" s="1"/>
  <c r="C154" i="181"/>
  <c r="B154" i="181"/>
  <c r="C153" i="181"/>
  <c r="B153" i="181"/>
  <c r="C152" i="181"/>
  <c r="B152" i="181"/>
  <c r="C151" i="181"/>
  <c r="B151" i="181"/>
  <c r="F150" i="181"/>
  <c r="G150" i="181" s="1"/>
  <c r="C150" i="181"/>
  <c r="B150" i="181"/>
  <c r="C149" i="181"/>
  <c r="B149" i="181"/>
  <c r="C148" i="181"/>
  <c r="B148" i="181"/>
  <c r="C147" i="181"/>
  <c r="B147" i="181"/>
  <c r="F146" i="181"/>
  <c r="G146" i="181" s="1"/>
  <c r="C146" i="181"/>
  <c r="B146" i="181"/>
  <c r="C145" i="181"/>
  <c r="B145" i="181"/>
  <c r="C144" i="181"/>
  <c r="B144" i="181"/>
  <c r="C143" i="181"/>
  <c r="B143" i="181"/>
  <c r="F142" i="181"/>
  <c r="G142" i="181" s="1"/>
  <c r="C142" i="181"/>
  <c r="B142" i="181"/>
  <c r="C141" i="181"/>
  <c r="B141" i="181"/>
  <c r="C140" i="181"/>
  <c r="B140" i="181"/>
  <c r="C139" i="181"/>
  <c r="B139" i="181"/>
  <c r="F138" i="181"/>
  <c r="G138" i="181" s="1"/>
  <c r="C138" i="181"/>
  <c r="B138" i="181"/>
  <c r="C137" i="181"/>
  <c r="B137" i="181"/>
  <c r="C136" i="181"/>
  <c r="B136" i="181"/>
  <c r="C135" i="181"/>
  <c r="B135" i="181"/>
  <c r="F134" i="181"/>
  <c r="G134" i="181" s="1"/>
  <c r="C134" i="181"/>
  <c r="B134" i="181"/>
  <c r="C133" i="181"/>
  <c r="B133" i="181"/>
  <c r="C132" i="181"/>
  <c r="B132" i="181"/>
  <c r="C131" i="181"/>
  <c r="B131" i="181"/>
  <c r="F130" i="181"/>
  <c r="G130" i="181" s="1"/>
  <c r="C130" i="181"/>
  <c r="B130" i="181"/>
  <c r="C129" i="181"/>
  <c r="B129" i="181"/>
  <c r="C128" i="181"/>
  <c r="B128" i="181"/>
  <c r="C127" i="181"/>
  <c r="B127" i="181"/>
  <c r="F126" i="181"/>
  <c r="G126" i="181" s="1"/>
  <c r="C126" i="181"/>
  <c r="B126" i="181"/>
  <c r="C125" i="181"/>
  <c r="B125" i="181"/>
  <c r="C124" i="181"/>
  <c r="B124" i="181"/>
  <c r="C123" i="181"/>
  <c r="B123" i="181"/>
  <c r="F122" i="181"/>
  <c r="G122" i="181" s="1"/>
  <c r="C122" i="181"/>
  <c r="B122" i="181"/>
  <c r="C121" i="181"/>
  <c r="B121" i="181"/>
  <c r="C120" i="181"/>
  <c r="B120" i="181"/>
  <c r="C119" i="181"/>
  <c r="B119" i="181"/>
  <c r="F118" i="181"/>
  <c r="G118" i="181" s="1"/>
  <c r="C118" i="181"/>
  <c r="B118" i="181"/>
  <c r="C109" i="181"/>
  <c r="B109" i="181"/>
  <c r="C108" i="181"/>
  <c r="B108" i="181"/>
  <c r="C107" i="181"/>
  <c r="B107" i="181"/>
  <c r="F106" i="181"/>
  <c r="G106" i="181" s="1"/>
  <c r="C106" i="181"/>
  <c r="B106" i="181"/>
  <c r="C105" i="181"/>
  <c r="B105" i="181"/>
  <c r="C104" i="181"/>
  <c r="B104" i="181"/>
  <c r="C103" i="181"/>
  <c r="B103" i="181"/>
  <c r="F102" i="181"/>
  <c r="G102" i="181" s="1"/>
  <c r="C102" i="181"/>
  <c r="B102" i="181"/>
  <c r="C101" i="181"/>
  <c r="B101" i="181"/>
  <c r="C100" i="181"/>
  <c r="B100" i="181"/>
  <c r="C99" i="181"/>
  <c r="B99" i="181"/>
  <c r="F98" i="181"/>
  <c r="G98" i="181" s="1"/>
  <c r="C98" i="181"/>
  <c r="B98" i="181"/>
  <c r="C97" i="181"/>
  <c r="B97" i="181"/>
  <c r="C96" i="181"/>
  <c r="B96" i="181"/>
  <c r="C95" i="181"/>
  <c r="B95" i="181"/>
  <c r="F94" i="181"/>
  <c r="G94" i="181" s="1"/>
  <c r="C94" i="181"/>
  <c r="B94" i="181"/>
  <c r="C93" i="181"/>
  <c r="B93" i="181"/>
  <c r="C92" i="181"/>
  <c r="B92" i="181"/>
  <c r="C91" i="181"/>
  <c r="B91" i="181"/>
  <c r="F90" i="181"/>
  <c r="G90" i="181" s="1"/>
  <c r="C90" i="181"/>
  <c r="B90" i="181"/>
  <c r="C89" i="181"/>
  <c r="B89" i="181"/>
  <c r="C88" i="181"/>
  <c r="B88" i="181"/>
  <c r="C87" i="181"/>
  <c r="B87" i="181"/>
  <c r="F86" i="181"/>
  <c r="G86" i="181" s="1"/>
  <c r="C86" i="181"/>
  <c r="B86" i="181"/>
  <c r="C85" i="181"/>
  <c r="B85" i="181"/>
  <c r="C84" i="181"/>
  <c r="B84" i="181"/>
  <c r="C83" i="181"/>
  <c r="B83" i="181"/>
  <c r="F82" i="181"/>
  <c r="G82" i="181" s="1"/>
  <c r="C82" i="181"/>
  <c r="B82" i="181"/>
  <c r="C81" i="181"/>
  <c r="B81" i="181"/>
  <c r="C80" i="181"/>
  <c r="B80" i="181"/>
  <c r="C79" i="181"/>
  <c r="B79" i="181"/>
  <c r="F78" i="181"/>
  <c r="G78" i="181" s="1"/>
  <c r="C78" i="181"/>
  <c r="B78" i="181"/>
  <c r="C77" i="181"/>
  <c r="B77" i="181"/>
  <c r="C76" i="181"/>
  <c r="B76" i="181"/>
  <c r="C75" i="181"/>
  <c r="B75" i="181"/>
  <c r="C71" i="181"/>
  <c r="B71" i="181"/>
  <c r="C70" i="181"/>
  <c r="B70" i="181"/>
  <c r="F69" i="181"/>
  <c r="G69" i="181" s="1"/>
  <c r="C69" i="181"/>
  <c r="B69" i="181"/>
  <c r="C65" i="181"/>
  <c r="B65" i="181"/>
  <c r="C64" i="181"/>
  <c r="B64" i="181"/>
  <c r="F63" i="181"/>
  <c r="G63" i="181" s="1"/>
  <c r="C63" i="181"/>
  <c r="B63" i="181"/>
  <c r="C62" i="181"/>
  <c r="B62" i="181"/>
  <c r="C61" i="181"/>
  <c r="B61" i="181"/>
  <c r="C60" i="181"/>
  <c r="B60" i="181"/>
  <c r="F59" i="181"/>
  <c r="G59" i="181" s="1"/>
  <c r="C59" i="181"/>
  <c r="B59" i="181"/>
  <c r="C58" i="181"/>
  <c r="B58" i="181"/>
  <c r="C57" i="181"/>
  <c r="B57" i="181"/>
  <c r="C56" i="181"/>
  <c r="B56" i="181"/>
  <c r="F55" i="181"/>
  <c r="G55" i="181" s="1"/>
  <c r="C55" i="181"/>
  <c r="B55" i="181"/>
  <c r="C54" i="181"/>
  <c r="B54" i="181"/>
  <c r="C53" i="181"/>
  <c r="B53" i="181"/>
  <c r="C52" i="181"/>
  <c r="B52" i="181"/>
  <c r="F51" i="181"/>
  <c r="G51" i="181" s="1"/>
  <c r="C51" i="181"/>
  <c r="B51" i="181"/>
  <c r="C50" i="181"/>
  <c r="B50" i="181"/>
  <c r="C49" i="181"/>
  <c r="B49" i="181"/>
  <c r="C48" i="181"/>
  <c r="B48" i="181"/>
  <c r="F47" i="181"/>
  <c r="G47" i="181" s="1"/>
  <c r="C47" i="181"/>
  <c r="B47" i="181"/>
  <c r="C46" i="181"/>
  <c r="B46" i="181"/>
  <c r="C45" i="181"/>
  <c r="B45" i="181"/>
  <c r="C44" i="181"/>
  <c r="B44" i="181"/>
  <c r="F43" i="181"/>
  <c r="G43" i="181" s="1"/>
  <c r="C43" i="181"/>
  <c r="B43" i="181"/>
  <c r="C42" i="181"/>
  <c r="B42" i="181"/>
  <c r="C41" i="181"/>
  <c r="B41" i="181"/>
  <c r="C40" i="181"/>
  <c r="B40" i="181"/>
  <c r="F39" i="181"/>
  <c r="G39" i="181" s="1"/>
  <c r="C39" i="181"/>
  <c r="B39" i="181"/>
  <c r="C38" i="181"/>
  <c r="B38" i="181"/>
  <c r="C37" i="181"/>
  <c r="B37" i="181"/>
  <c r="C36" i="181"/>
  <c r="B36" i="181"/>
  <c r="F35" i="181"/>
  <c r="G35" i="181" s="1"/>
  <c r="C35" i="181"/>
  <c r="B35" i="181"/>
  <c r="C34" i="181"/>
  <c r="B34" i="181"/>
  <c r="C33" i="181"/>
  <c r="B33" i="181"/>
  <c r="C32" i="181"/>
  <c r="B32" i="181"/>
  <c r="F31" i="181"/>
  <c r="G31" i="181" s="1"/>
  <c r="C31" i="181"/>
  <c r="B31" i="181"/>
  <c r="C30" i="181"/>
  <c r="B30" i="181"/>
  <c r="C29" i="181"/>
  <c r="B29" i="181"/>
  <c r="C28" i="181"/>
  <c r="B28" i="181"/>
  <c r="F27" i="181"/>
  <c r="G27" i="181" s="1"/>
  <c r="C27" i="181"/>
  <c r="B27" i="181"/>
  <c r="C26" i="181"/>
  <c r="B26" i="181"/>
  <c r="C25" i="181"/>
  <c r="B25" i="181"/>
  <c r="C24" i="181"/>
  <c r="B24" i="181"/>
  <c r="F23" i="181"/>
  <c r="G23" i="181" s="1"/>
  <c r="C23" i="181"/>
  <c r="B23" i="181"/>
  <c r="C22" i="181"/>
  <c r="B22" i="181"/>
  <c r="C21" i="181"/>
  <c r="B21" i="181"/>
  <c r="C20" i="181"/>
  <c r="B20" i="181"/>
  <c r="F19" i="181"/>
  <c r="G19" i="181" s="1"/>
  <c r="C19" i="181"/>
  <c r="B19" i="181"/>
  <c r="H49" i="181" l="1"/>
  <c r="H98" i="181"/>
  <c r="H122" i="181"/>
  <c r="H127" i="181"/>
  <c r="H143" i="181"/>
  <c r="H159" i="181"/>
  <c r="H175" i="181"/>
  <c r="H186" i="181"/>
  <c r="H197" i="181"/>
  <c r="H213" i="181"/>
  <c r="H28" i="181"/>
  <c r="H44" i="181"/>
  <c r="H93" i="181"/>
  <c r="H109" i="181"/>
  <c r="H149" i="181"/>
  <c r="H181" i="181"/>
  <c r="H192" i="181"/>
  <c r="H208" i="181"/>
  <c r="H50" i="181"/>
  <c r="H104" i="181"/>
  <c r="H176" i="181"/>
  <c r="H198" i="181"/>
  <c r="H111" i="181"/>
  <c r="H29" i="181"/>
  <c r="H61" i="181"/>
  <c r="H94" i="181"/>
  <c r="H99" i="181"/>
  <c r="H134" i="181"/>
  <c r="H139" i="181"/>
  <c r="H187" i="181"/>
  <c r="H209" i="181"/>
  <c r="H24" i="181"/>
  <c r="H40" i="181"/>
  <c r="H51" i="181"/>
  <c r="H89" i="181"/>
  <c r="H105" i="181"/>
  <c r="H145" i="181"/>
  <c r="H177" i="181"/>
  <c r="H204" i="181"/>
  <c r="H30" i="181"/>
  <c r="H100" i="181"/>
  <c r="H140" i="181"/>
  <c r="H156" i="181"/>
  <c r="H172" i="181"/>
  <c r="H194" i="181"/>
  <c r="H215" i="181"/>
  <c r="H7" i="181"/>
  <c r="H25" i="181"/>
  <c r="H79" i="181"/>
  <c r="H95" i="181"/>
  <c r="H130" i="181"/>
  <c r="H135" i="181"/>
  <c r="H151" i="181"/>
  <c r="H167" i="181"/>
  <c r="H183" i="181"/>
  <c r="H113" i="181"/>
  <c r="H20" i="181"/>
  <c r="H36" i="181"/>
  <c r="H47" i="181"/>
  <c r="H52" i="181"/>
  <c r="H85" i="181"/>
  <c r="H125" i="181"/>
  <c r="H157" i="181"/>
  <c r="H189" i="181"/>
  <c r="H13" i="181"/>
  <c r="H58" i="181"/>
  <c r="H80" i="181"/>
  <c r="H96" i="181"/>
  <c r="H120" i="181"/>
  <c r="H136" i="181"/>
  <c r="H152" i="181"/>
  <c r="H168" i="181"/>
  <c r="H184" i="181"/>
  <c r="H195" i="181"/>
  <c r="H206" i="181"/>
  <c r="H211" i="181"/>
  <c r="H114" i="181"/>
  <c r="H8" i="181"/>
  <c r="H21" i="181"/>
  <c r="H37" i="181"/>
  <c r="H53" i="181"/>
  <c r="H86" i="181"/>
  <c r="H91" i="181"/>
  <c r="H102" i="181"/>
  <c r="H107" i="181"/>
  <c r="H126" i="181"/>
  <c r="H142" i="181"/>
  <c r="H147" i="181"/>
  <c r="H158" i="181"/>
  <c r="H163" i="181"/>
  <c r="H174" i="181"/>
  <c r="H179" i="181"/>
  <c r="H190" i="181"/>
  <c r="H201" i="181"/>
  <c r="H217" i="181"/>
  <c r="H14" i="181"/>
  <c r="H33" i="181"/>
  <c r="H65" i="181"/>
  <c r="H103" i="181"/>
  <c r="H170" i="181"/>
  <c r="H165" i="181"/>
  <c r="H116" i="181"/>
  <c r="H144" i="181"/>
  <c r="H203" i="181"/>
  <c r="H11" i="181"/>
  <c r="H45" i="181"/>
  <c r="H78" i="181"/>
  <c r="H123" i="181"/>
  <c r="H117" i="181"/>
  <c r="H56" i="181"/>
  <c r="H129" i="181"/>
  <c r="H17" i="181"/>
  <c r="H46" i="181"/>
  <c r="H84" i="181"/>
  <c r="H124" i="181"/>
  <c r="H188" i="181"/>
  <c r="H57" i="181"/>
  <c r="H119" i="181"/>
  <c r="H178" i="181"/>
  <c r="H205" i="181"/>
  <c r="H31" i="181"/>
  <c r="H71" i="181"/>
  <c r="H141" i="181"/>
  <c r="H200" i="181"/>
  <c r="H42" i="181"/>
  <c r="H27" i="181"/>
  <c r="H32" i="181"/>
  <c r="H43" i="181"/>
  <c r="H59" i="181"/>
  <c r="H81" i="181"/>
  <c r="H97" i="181"/>
  <c r="H121" i="181"/>
  <c r="H137" i="181"/>
  <c r="H153" i="181"/>
  <c r="H169" i="181"/>
  <c r="H185" i="181"/>
  <c r="H196" i="181"/>
  <c r="H212" i="181"/>
  <c r="H9" i="181"/>
  <c r="H87" i="181"/>
  <c r="H10" i="181"/>
  <c r="H39" i="181"/>
  <c r="H60" i="181"/>
  <c r="H133" i="181"/>
  <c r="H34" i="181"/>
  <c r="H88" i="181"/>
  <c r="H128" i="181"/>
  <c r="H160" i="181"/>
  <c r="H214" i="181"/>
  <c r="H16" i="181"/>
  <c r="H83" i="181"/>
  <c r="H118" i="181"/>
  <c r="H155" i="181"/>
  <c r="H171" i="181"/>
  <c r="H193" i="181"/>
  <c r="H19" i="181"/>
  <c r="H161" i="181"/>
  <c r="H12" i="181"/>
  <c r="H41" i="181"/>
  <c r="H90" i="181"/>
  <c r="H106" i="181"/>
  <c r="H162" i="181"/>
  <c r="H18" i="181"/>
  <c r="H101" i="181"/>
  <c r="H173" i="181"/>
  <c r="H216" i="181"/>
  <c r="H26" i="181"/>
  <c r="H22" i="181"/>
  <c r="H38" i="181"/>
  <c r="H54" i="181"/>
  <c r="H92" i="181"/>
  <c r="H108" i="181"/>
  <c r="H132" i="181"/>
  <c r="H148" i="181"/>
  <c r="H164" i="181"/>
  <c r="H180" i="181"/>
  <c r="H191" i="181"/>
  <c r="H207" i="181"/>
  <c r="H115" i="181"/>
  <c r="H15" i="181"/>
  <c r="H199" i="181"/>
  <c r="H112" i="181"/>
  <c r="H62" i="181"/>
  <c r="H131" i="181"/>
  <c r="H48" i="181"/>
  <c r="H23" i="181"/>
  <c r="H35" i="181"/>
  <c r="H110" i="181"/>
  <c r="H63" i="181"/>
  <c r="H82" i="181"/>
  <c r="H146" i="181"/>
  <c r="H150" i="181"/>
  <c r="H55" i="181"/>
  <c r="H69" i="181"/>
  <c r="H202" i="181"/>
  <c r="H138" i="181"/>
  <c r="H154" i="181"/>
  <c r="H166" i="181"/>
  <c r="H182" i="181"/>
  <c r="H210" i="181"/>
  <c r="M13" i="180"/>
  <c r="L13" i="180"/>
  <c r="G8" i="180" l="1"/>
  <c r="F8" i="180"/>
  <c r="M16" i="180" l="1"/>
  <c r="M10" i="180"/>
  <c r="M12" i="180" s="1"/>
  <c r="L10" i="180"/>
  <c r="L12" i="180" s="1"/>
  <c r="G16" i="180"/>
  <c r="G13" i="180"/>
  <c r="G10" i="180"/>
  <c r="G12" i="180" s="1"/>
  <c r="F10" i="180"/>
  <c r="F12" i="180" s="1"/>
  <c r="L15" i="180" l="1"/>
  <c r="L17" i="180" s="1"/>
  <c r="L14" i="180"/>
  <c r="L18" i="180" s="1"/>
  <c r="M15" i="180"/>
  <c r="M17" i="180" s="1"/>
  <c r="M14" i="180"/>
  <c r="M18" i="180" s="1"/>
  <c r="G15" i="180"/>
  <c r="G17" i="180" s="1"/>
  <c r="G14" i="180"/>
  <c r="F15" i="180"/>
  <c r="F17" i="180" s="1"/>
  <c r="F14" i="180"/>
  <c r="F18" i="180" s="1"/>
  <c r="N67" i="174"/>
  <c r="Q67" i="174" s="1"/>
  <c r="R67" i="174" s="1"/>
  <c r="C67" i="174"/>
  <c r="B67" i="174"/>
  <c r="N66" i="174"/>
  <c r="O66" i="174" s="1"/>
  <c r="C66" i="174"/>
  <c r="B66" i="174"/>
  <c r="N65" i="174"/>
  <c r="Q65" i="174" s="1"/>
  <c r="R65" i="174" s="1"/>
  <c r="F65" i="174"/>
  <c r="G65" i="174" s="1"/>
  <c r="C65" i="174"/>
  <c r="B65" i="174"/>
  <c r="H65" i="174" s="1"/>
  <c r="G18" i="180" l="1"/>
  <c r="O65" i="174"/>
  <c r="P65" i="174"/>
  <c r="P66" i="174"/>
  <c r="Q66" i="174"/>
  <c r="R66" i="174" s="1"/>
  <c r="S66" i="174" s="1"/>
  <c r="T66" i="174" s="1"/>
  <c r="O67" i="174"/>
  <c r="P67" i="174"/>
  <c r="S67" i="174"/>
  <c r="T67" i="174" s="1"/>
  <c r="S65" i="174"/>
  <c r="T65" i="174" s="1"/>
  <c r="N70" i="174"/>
  <c r="Q70" i="174" s="1"/>
  <c r="R70" i="174" s="1"/>
  <c r="C70" i="174"/>
  <c r="B70" i="174"/>
  <c r="N69" i="174"/>
  <c r="Q69" i="174" s="1"/>
  <c r="R69" i="174" s="1"/>
  <c r="C69" i="174"/>
  <c r="B69" i="174"/>
  <c r="N68" i="174"/>
  <c r="O68" i="174" s="1"/>
  <c r="F68" i="174"/>
  <c r="G68" i="174" s="1"/>
  <c r="C68" i="174"/>
  <c r="B68" i="174"/>
  <c r="H68" i="174" s="1"/>
  <c r="P68" i="174" l="1"/>
  <c r="Q68" i="174"/>
  <c r="R68" i="174" s="1"/>
  <c r="S68" i="174" s="1"/>
  <c r="T68" i="174" s="1"/>
  <c r="P69" i="174"/>
  <c r="O69" i="174"/>
  <c r="O70" i="174"/>
  <c r="P70" i="174"/>
  <c r="S69" i="174"/>
  <c r="T69" i="174" s="1"/>
  <c r="S70" i="174"/>
  <c r="T70" i="174" s="1"/>
  <c r="N105" i="174"/>
  <c r="Q105" i="174" s="1"/>
  <c r="N104" i="174"/>
  <c r="O104" i="174" s="1"/>
  <c r="R104" i="174" s="1"/>
  <c r="N103" i="174"/>
  <c r="Q103" i="174" s="1"/>
  <c r="N102" i="174"/>
  <c r="O102" i="174" s="1"/>
  <c r="R102" i="174" s="1"/>
  <c r="N101" i="174"/>
  <c r="Q101" i="174" s="1"/>
  <c r="N100" i="174"/>
  <c r="Q100" i="174" s="1"/>
  <c r="N99" i="174"/>
  <c r="Q99" i="174" s="1"/>
  <c r="N98" i="174"/>
  <c r="O98" i="174" s="1"/>
  <c r="R98" i="174" s="1"/>
  <c r="N97" i="174"/>
  <c r="Q97" i="174" s="1"/>
  <c r="N96" i="174"/>
  <c r="Q96" i="174" s="1"/>
  <c r="N95" i="174"/>
  <c r="Q95" i="174" s="1"/>
  <c r="N94" i="174"/>
  <c r="Q94" i="174" s="1"/>
  <c r="N93" i="174"/>
  <c r="Q93" i="174" s="1"/>
  <c r="N92" i="174"/>
  <c r="Q92" i="174" s="1"/>
  <c r="N91" i="174"/>
  <c r="Q91" i="174" s="1"/>
  <c r="N90" i="174"/>
  <c r="P90" i="174" s="1"/>
  <c r="N89" i="174"/>
  <c r="Q89" i="174" s="1"/>
  <c r="N88" i="174"/>
  <c r="Q88" i="174" s="1"/>
  <c r="N87" i="174"/>
  <c r="Q87" i="174" s="1"/>
  <c r="N86" i="174"/>
  <c r="Q86" i="174" s="1"/>
  <c r="N85" i="174"/>
  <c r="Q85" i="174" s="1"/>
  <c r="N84" i="174"/>
  <c r="Q84" i="174" s="1"/>
  <c r="N83" i="174"/>
  <c r="Q83" i="174" s="1"/>
  <c r="N82" i="174"/>
  <c r="Q82" i="174" s="1"/>
  <c r="N81" i="174"/>
  <c r="P81" i="174" s="1"/>
  <c r="N80" i="174"/>
  <c r="O80" i="174" s="1"/>
  <c r="R80" i="174" s="1"/>
  <c r="N79" i="174"/>
  <c r="P79" i="174" s="1"/>
  <c r="N78" i="174"/>
  <c r="Q78" i="174" s="1"/>
  <c r="N77" i="174"/>
  <c r="Q77" i="174" s="1"/>
  <c r="N76" i="174"/>
  <c r="Q76" i="174" s="1"/>
  <c r="N75" i="174"/>
  <c r="Q75" i="174" s="1"/>
  <c r="N74" i="174"/>
  <c r="O74" i="174" s="1"/>
  <c r="R74" i="174" s="1"/>
  <c r="N56" i="174"/>
  <c r="Q56" i="174" s="1"/>
  <c r="R56" i="174" s="1"/>
  <c r="C56" i="174"/>
  <c r="B56" i="174"/>
  <c r="N55" i="174"/>
  <c r="Q55" i="174" s="1"/>
  <c r="R55" i="174" s="1"/>
  <c r="C55" i="174"/>
  <c r="B55" i="174"/>
  <c r="N54" i="174"/>
  <c r="O54" i="174" s="1"/>
  <c r="C54" i="174"/>
  <c r="B54" i="174"/>
  <c r="N53" i="174"/>
  <c r="O53" i="174" s="1"/>
  <c r="F53" i="174"/>
  <c r="G53" i="174" s="1"/>
  <c r="C53" i="174"/>
  <c r="B53" i="174"/>
  <c r="H53" i="174" s="1"/>
  <c r="O81" i="174" l="1"/>
  <c r="R81" i="174" s="1"/>
  <c r="Q81" i="174"/>
  <c r="P53" i="174"/>
  <c r="Q53" i="174"/>
  <c r="R53" i="174" s="1"/>
  <c r="S55" i="174"/>
  <c r="T55" i="174" s="1"/>
  <c r="S56" i="174"/>
  <c r="T56" i="174" s="1"/>
  <c r="O55" i="174"/>
  <c r="P55" i="174"/>
  <c r="S53" i="174"/>
  <c r="T53" i="174" s="1"/>
  <c r="P54" i="174"/>
  <c r="Q54" i="174"/>
  <c r="R54" i="174" s="1"/>
  <c r="S54" i="174" s="1"/>
  <c r="T54" i="174" s="1"/>
  <c r="O56" i="174"/>
  <c r="P56" i="174"/>
  <c r="P104" i="174"/>
  <c r="P102" i="174"/>
  <c r="Q104" i="174"/>
  <c r="Q102" i="174"/>
  <c r="O105" i="174"/>
  <c r="R105" i="174" s="1"/>
  <c r="P105" i="174"/>
  <c r="O103" i="174"/>
  <c r="R103" i="174" s="1"/>
  <c r="P103" i="174"/>
  <c r="P100" i="174"/>
  <c r="Q98" i="174"/>
  <c r="O101" i="174"/>
  <c r="R101" i="174" s="1"/>
  <c r="O100" i="174"/>
  <c r="R100" i="174" s="1"/>
  <c r="P101" i="174"/>
  <c r="P98" i="174"/>
  <c r="O99" i="174"/>
  <c r="R99" i="174" s="1"/>
  <c r="P99" i="174"/>
  <c r="P96" i="174"/>
  <c r="O97" i="174"/>
  <c r="R97" i="174" s="1"/>
  <c r="P97" i="174"/>
  <c r="O95" i="174"/>
  <c r="R95" i="174" s="1"/>
  <c r="O96" i="174"/>
  <c r="R96" i="174" s="1"/>
  <c r="P95" i="174"/>
  <c r="O94" i="174"/>
  <c r="R94" i="174" s="1"/>
  <c r="P94" i="174"/>
  <c r="O93" i="174"/>
  <c r="R93" i="174" s="1"/>
  <c r="O90" i="174"/>
  <c r="R90" i="174" s="1"/>
  <c r="P93" i="174"/>
  <c r="O92" i="174"/>
  <c r="R92" i="174" s="1"/>
  <c r="O91" i="174"/>
  <c r="R91" i="174" s="1"/>
  <c r="P92" i="174"/>
  <c r="Q90" i="174"/>
  <c r="P91" i="174"/>
  <c r="P88" i="174"/>
  <c r="O88" i="174"/>
  <c r="R88" i="174" s="1"/>
  <c r="O86" i="174"/>
  <c r="R86" i="174" s="1"/>
  <c r="O89" i="174"/>
  <c r="R89" i="174" s="1"/>
  <c r="P89" i="174"/>
  <c r="O87" i="174"/>
  <c r="R87" i="174" s="1"/>
  <c r="P86" i="174"/>
  <c r="P87" i="174"/>
  <c r="P84" i="174"/>
  <c r="O82" i="174"/>
  <c r="R82" i="174" s="1"/>
  <c r="P82" i="174"/>
  <c r="P85" i="174"/>
  <c r="O83" i="174"/>
  <c r="R83" i="174" s="1"/>
  <c r="P83" i="174"/>
  <c r="Q79" i="174"/>
  <c r="P80" i="174"/>
  <c r="O85" i="174"/>
  <c r="R85" i="174" s="1"/>
  <c r="Q80" i="174"/>
  <c r="O78" i="174"/>
  <c r="R78" i="174" s="1"/>
  <c r="P78" i="174"/>
  <c r="O79" i="174"/>
  <c r="R79" i="174" s="1"/>
  <c r="O84" i="174"/>
  <c r="R84" i="174" s="1"/>
  <c r="O77" i="174"/>
  <c r="R77" i="174" s="1"/>
  <c r="P77" i="174"/>
  <c r="O76" i="174"/>
  <c r="R76" i="174" s="1"/>
  <c r="P74" i="174"/>
  <c r="Q74" i="174"/>
  <c r="O75" i="174"/>
  <c r="R75" i="174" s="1"/>
  <c r="P76" i="174"/>
  <c r="P75" i="174"/>
  <c r="C105" i="174" l="1"/>
  <c r="B105" i="174"/>
  <c r="S105" i="174" s="1"/>
  <c r="T105" i="174" s="1"/>
  <c r="C104" i="174"/>
  <c r="B104" i="174"/>
  <c r="S104" i="174" s="1"/>
  <c r="T104" i="174" s="1"/>
  <c r="C103" i="174"/>
  <c r="B103" i="174"/>
  <c r="S103" i="174" s="1"/>
  <c r="T103" i="174" s="1"/>
  <c r="F102" i="174"/>
  <c r="G102" i="174" s="1"/>
  <c r="C102" i="174"/>
  <c r="B102" i="174"/>
  <c r="C101" i="174"/>
  <c r="B101" i="174"/>
  <c r="S101" i="174" s="1"/>
  <c r="T101" i="174" s="1"/>
  <c r="C100" i="174"/>
  <c r="B100" i="174"/>
  <c r="S100" i="174" s="1"/>
  <c r="T100" i="174" s="1"/>
  <c r="C99" i="174"/>
  <c r="B99" i="174"/>
  <c r="S99" i="174" s="1"/>
  <c r="T99" i="174" s="1"/>
  <c r="F98" i="174"/>
  <c r="G98" i="174" s="1"/>
  <c r="C98" i="174"/>
  <c r="B98" i="174"/>
  <c r="C97" i="174"/>
  <c r="B97" i="174"/>
  <c r="S97" i="174" s="1"/>
  <c r="T97" i="174" s="1"/>
  <c r="C96" i="174"/>
  <c r="B96" i="174"/>
  <c r="S96" i="174" s="1"/>
  <c r="T96" i="174" s="1"/>
  <c r="C95" i="174"/>
  <c r="B95" i="174"/>
  <c r="S95" i="174" s="1"/>
  <c r="T95" i="174" s="1"/>
  <c r="F94" i="174"/>
  <c r="G94" i="174" s="1"/>
  <c r="C94" i="174"/>
  <c r="B94" i="174"/>
  <c r="H94" i="174" s="1"/>
  <c r="C93" i="174"/>
  <c r="B93" i="174"/>
  <c r="S93" i="174" s="1"/>
  <c r="T93" i="174" s="1"/>
  <c r="C92" i="174"/>
  <c r="B92" i="174"/>
  <c r="S92" i="174" s="1"/>
  <c r="T92" i="174" s="1"/>
  <c r="C91" i="174"/>
  <c r="B91" i="174"/>
  <c r="S91" i="174" s="1"/>
  <c r="T91" i="174" s="1"/>
  <c r="F90" i="174"/>
  <c r="G90" i="174" s="1"/>
  <c r="C90" i="174"/>
  <c r="B90" i="174"/>
  <c r="H90" i="174" s="1"/>
  <c r="C89" i="174"/>
  <c r="B89" i="174"/>
  <c r="S89" i="174" s="1"/>
  <c r="T89" i="174" s="1"/>
  <c r="C88" i="174"/>
  <c r="B88" i="174"/>
  <c r="S88" i="174" s="1"/>
  <c r="T88" i="174" s="1"/>
  <c r="C87" i="174"/>
  <c r="B87" i="174"/>
  <c r="S87" i="174" s="1"/>
  <c r="T87" i="174" s="1"/>
  <c r="F86" i="174"/>
  <c r="G86" i="174" s="1"/>
  <c r="C86" i="174"/>
  <c r="B86" i="174"/>
  <c r="H86" i="174" s="1"/>
  <c r="C85" i="174"/>
  <c r="B85" i="174"/>
  <c r="S85" i="174" s="1"/>
  <c r="T85" i="174" s="1"/>
  <c r="C84" i="174"/>
  <c r="B84" i="174"/>
  <c r="S84" i="174" s="1"/>
  <c r="T84" i="174" s="1"/>
  <c r="C83" i="174"/>
  <c r="B83" i="174"/>
  <c r="S83" i="174" s="1"/>
  <c r="T83" i="174" s="1"/>
  <c r="F82" i="174"/>
  <c r="G82" i="174" s="1"/>
  <c r="C82" i="174"/>
  <c r="B82" i="174"/>
  <c r="H82" i="174" s="1"/>
  <c r="C81" i="174"/>
  <c r="B81" i="174"/>
  <c r="S81" i="174" s="1"/>
  <c r="T81" i="174" s="1"/>
  <c r="C80" i="174"/>
  <c r="B80" i="174"/>
  <c r="S80" i="174" s="1"/>
  <c r="T80" i="174" s="1"/>
  <c r="C79" i="174"/>
  <c r="B79" i="174"/>
  <c r="S79" i="174" s="1"/>
  <c r="T79" i="174" s="1"/>
  <c r="F78" i="174"/>
  <c r="G78" i="174" s="1"/>
  <c r="C78" i="174"/>
  <c r="B78" i="174"/>
  <c r="H78" i="174" s="1"/>
  <c r="C77" i="174"/>
  <c r="B77" i="174"/>
  <c r="S77" i="174" s="1"/>
  <c r="T77" i="174" s="1"/>
  <c r="C76" i="174"/>
  <c r="B76" i="174"/>
  <c r="S76" i="174" s="1"/>
  <c r="T76" i="174" s="1"/>
  <c r="C75" i="174"/>
  <c r="B75" i="174"/>
  <c r="S75" i="174" s="1"/>
  <c r="T75" i="174" s="1"/>
  <c r="F74" i="174"/>
  <c r="G74" i="174" s="1"/>
  <c r="C74" i="174"/>
  <c r="B74" i="174"/>
  <c r="S94" i="174" l="1"/>
  <c r="T94" i="174" s="1"/>
  <c r="H98" i="174"/>
  <c r="S98" i="174"/>
  <c r="T98" i="174" s="1"/>
  <c r="S82" i="174"/>
  <c r="T82" i="174" s="1"/>
  <c r="S90" i="174"/>
  <c r="T90" i="174" s="1"/>
  <c r="S86" i="174"/>
  <c r="T86" i="174" s="1"/>
  <c r="H102" i="174"/>
  <c r="S102" i="174"/>
  <c r="T102" i="174" s="1"/>
  <c r="S78" i="174"/>
  <c r="T78" i="174" s="1"/>
  <c r="H74" i="174"/>
  <c r="S74" i="174"/>
  <c r="T74" i="174" s="1"/>
  <c r="P22" i="174"/>
  <c r="P20" i="174"/>
  <c r="O20" i="174"/>
  <c r="N28" i="174"/>
  <c r="P28" i="174" s="1"/>
  <c r="N27" i="174"/>
  <c r="O27" i="174" s="1"/>
  <c r="N26" i="174"/>
  <c r="Q26" i="174" s="1"/>
  <c r="R26" i="174" s="1"/>
  <c r="N25" i="174"/>
  <c r="Q25" i="174" s="1"/>
  <c r="R25" i="174" s="1"/>
  <c r="N24" i="174"/>
  <c r="Q24" i="174" s="1"/>
  <c r="R24" i="174" s="1"/>
  <c r="N23" i="174"/>
  <c r="O23" i="174" s="1"/>
  <c r="N22" i="174"/>
  <c r="Q22" i="174" s="1"/>
  <c r="R22" i="174" s="1"/>
  <c r="N21" i="174"/>
  <c r="Q21" i="174" s="1"/>
  <c r="R21" i="174" s="1"/>
  <c r="N20" i="174"/>
  <c r="Q20" i="174" s="1"/>
  <c r="R20" i="174" s="1"/>
  <c r="N19" i="174"/>
  <c r="P19" i="174" s="1"/>
  <c r="N18" i="174"/>
  <c r="O18" i="174" s="1"/>
  <c r="N17" i="174"/>
  <c r="Q17" i="174" s="1"/>
  <c r="R17" i="174" s="1"/>
  <c r="N16" i="174"/>
  <c r="Q16" i="174" s="1"/>
  <c r="R16" i="174" s="1"/>
  <c r="N15" i="174"/>
  <c r="Q15" i="174" s="1"/>
  <c r="R15" i="174" s="1"/>
  <c r="N14" i="174"/>
  <c r="Q14" i="174" s="1"/>
  <c r="R14" i="174" s="1"/>
  <c r="N13" i="174"/>
  <c r="P13" i="174" s="1"/>
  <c r="B28" i="174"/>
  <c r="B27" i="174"/>
  <c r="B26" i="174"/>
  <c r="B25" i="174"/>
  <c r="H25" i="174" s="1"/>
  <c r="B24" i="174"/>
  <c r="B23" i="174"/>
  <c r="B22" i="174"/>
  <c r="B21" i="174"/>
  <c r="H21" i="174" s="1"/>
  <c r="B20" i="174"/>
  <c r="B19" i="174"/>
  <c r="B18" i="174"/>
  <c r="B17" i="174"/>
  <c r="H17" i="174" s="1"/>
  <c r="B16" i="174"/>
  <c r="B15" i="174"/>
  <c r="B14" i="174"/>
  <c r="B13" i="174"/>
  <c r="C28" i="174"/>
  <c r="C27" i="174"/>
  <c r="C26" i="174"/>
  <c r="F25" i="174"/>
  <c r="G25" i="174" s="1"/>
  <c r="C25" i="174"/>
  <c r="C24" i="174"/>
  <c r="C23" i="174"/>
  <c r="C22" i="174"/>
  <c r="F21" i="174"/>
  <c r="G21" i="174" s="1"/>
  <c r="C21" i="174"/>
  <c r="C20" i="174"/>
  <c r="C19" i="174"/>
  <c r="C18" i="174"/>
  <c r="F17" i="174"/>
  <c r="G17" i="174" s="1"/>
  <c r="C17" i="174"/>
  <c r="C16" i="174"/>
  <c r="C15" i="174"/>
  <c r="C14" i="174"/>
  <c r="F13" i="174"/>
  <c r="G13" i="174" s="1"/>
  <c r="C13" i="174"/>
  <c r="P23" i="174" l="1"/>
  <c r="P24" i="174"/>
  <c r="P18" i="174"/>
  <c r="Q18" i="174"/>
  <c r="R18" i="174" s="1"/>
  <c r="O19" i="174"/>
  <c r="Q19" i="174"/>
  <c r="R19" i="174" s="1"/>
  <c r="P25" i="174"/>
  <c r="P27" i="174"/>
  <c r="O25" i="174"/>
  <c r="Q27" i="174"/>
  <c r="R27" i="174" s="1"/>
  <c r="S27" i="174" s="1"/>
  <c r="T27" i="174" s="1"/>
  <c r="Q23" i="174"/>
  <c r="R23" i="174" s="1"/>
  <c r="S23" i="174" s="1"/>
  <c r="T23" i="174" s="1"/>
  <c r="O24" i="174"/>
  <c r="O13" i="174"/>
  <c r="Q13" i="174"/>
  <c r="R13" i="174" s="1"/>
  <c r="S13" i="174" s="1"/>
  <c r="T13" i="174" s="1"/>
  <c r="O14" i="174"/>
  <c r="O15" i="174"/>
  <c r="P15" i="174"/>
  <c r="O26" i="174"/>
  <c r="P14" i="174"/>
  <c r="O21" i="174"/>
  <c r="P26" i="174"/>
  <c r="O16" i="174"/>
  <c r="P21" i="174"/>
  <c r="P16" i="174"/>
  <c r="O22" i="174"/>
  <c r="Q28" i="174"/>
  <c r="R28" i="174" s="1"/>
  <c r="S28" i="174" s="1"/>
  <c r="T28" i="174" s="1"/>
  <c r="O17" i="174"/>
  <c r="P17" i="174"/>
  <c r="O28" i="174"/>
  <c r="S25" i="174"/>
  <c r="T25" i="174" s="1"/>
  <c r="S18" i="174"/>
  <c r="T18" i="174" s="1"/>
  <c r="S19" i="174"/>
  <c r="T19" i="174" s="1"/>
  <c r="S24" i="174"/>
  <c r="T24" i="174" s="1"/>
  <c r="S14" i="174"/>
  <c r="T14" i="174" s="1"/>
  <c r="S26" i="174"/>
  <c r="T26" i="174" s="1"/>
  <c r="S21" i="174"/>
  <c r="T21" i="174" s="1"/>
  <c r="S22" i="174"/>
  <c r="T22" i="174" s="1"/>
  <c r="S17" i="174"/>
  <c r="T17" i="174" s="1"/>
  <c r="S20" i="174"/>
  <c r="T20" i="174" s="1"/>
  <c r="S15" i="174"/>
  <c r="T15" i="174" s="1"/>
  <c r="S16" i="174"/>
  <c r="T16" i="174" s="1"/>
  <c r="H13" i="174"/>
  <c r="N32" i="174" l="1"/>
  <c r="Q32" i="174" s="1"/>
  <c r="R32" i="174" s="1"/>
  <c r="C32" i="174"/>
  <c r="B32" i="174"/>
  <c r="N31" i="174"/>
  <c r="Q31" i="174" s="1"/>
  <c r="R31" i="174" s="1"/>
  <c r="C31" i="174"/>
  <c r="B31" i="174"/>
  <c r="N30" i="174"/>
  <c r="Q30" i="174" s="1"/>
  <c r="R30" i="174" s="1"/>
  <c r="C30" i="174"/>
  <c r="B30" i="174"/>
  <c r="N29" i="174"/>
  <c r="Q29" i="174" s="1"/>
  <c r="R29" i="174" s="1"/>
  <c r="F29" i="174"/>
  <c r="G29" i="174" s="1"/>
  <c r="C29" i="174"/>
  <c r="B29" i="174"/>
  <c r="H29" i="174" s="1"/>
  <c r="O30" i="174" l="1"/>
  <c r="P30" i="174"/>
  <c r="O29" i="174"/>
  <c r="O31" i="174"/>
  <c r="P29" i="174"/>
  <c r="O32" i="174"/>
  <c r="P32" i="174"/>
  <c r="P31" i="174"/>
  <c r="S30" i="174"/>
  <c r="T30" i="174" s="1"/>
  <c r="S31" i="174"/>
  <c r="T31" i="174" s="1"/>
  <c r="S32" i="174"/>
  <c r="T32" i="174" s="1"/>
  <c r="S29" i="174"/>
  <c r="T29" i="174" s="1"/>
  <c r="N117" i="174"/>
  <c r="O117" i="174" s="1"/>
  <c r="C117" i="174"/>
  <c r="B117" i="174"/>
  <c r="N116" i="174"/>
  <c r="Q116" i="174" s="1"/>
  <c r="R116" i="174" s="1"/>
  <c r="C116" i="174"/>
  <c r="B116" i="174"/>
  <c r="N115" i="174"/>
  <c r="Q115" i="174" s="1"/>
  <c r="R115" i="174" s="1"/>
  <c r="C115" i="174"/>
  <c r="B115" i="174"/>
  <c r="N114" i="174"/>
  <c r="O114" i="174" s="1"/>
  <c r="F114" i="174"/>
  <c r="G114" i="174" s="1"/>
  <c r="C114" i="174"/>
  <c r="B114" i="174"/>
  <c r="H114" i="174" s="1"/>
  <c r="N113" i="174"/>
  <c r="P113" i="174" s="1"/>
  <c r="C113" i="174"/>
  <c r="B113" i="174"/>
  <c r="N112" i="174"/>
  <c r="O112" i="174" s="1"/>
  <c r="C112" i="174"/>
  <c r="B112" i="174"/>
  <c r="N111" i="174"/>
  <c r="Q111" i="174" s="1"/>
  <c r="R111" i="174" s="1"/>
  <c r="C111" i="174"/>
  <c r="B111" i="174"/>
  <c r="N110" i="174"/>
  <c r="Q110" i="174" s="1"/>
  <c r="R110" i="174" s="1"/>
  <c r="F110" i="174"/>
  <c r="G110" i="174" s="1"/>
  <c r="C110" i="174"/>
  <c r="B110" i="174"/>
  <c r="H110" i="174" s="1"/>
  <c r="N109" i="174"/>
  <c r="Q109" i="174" s="1"/>
  <c r="R109" i="174" s="1"/>
  <c r="C109" i="174"/>
  <c r="B109" i="174"/>
  <c r="N108" i="174"/>
  <c r="P108" i="174" s="1"/>
  <c r="C108" i="174"/>
  <c r="B108" i="174"/>
  <c r="N107" i="174"/>
  <c r="O107" i="174" s="1"/>
  <c r="C107" i="174"/>
  <c r="B107" i="174"/>
  <c r="N106" i="174"/>
  <c r="Q106" i="174" s="1"/>
  <c r="R106" i="174" s="1"/>
  <c r="F106" i="174"/>
  <c r="G106" i="174" s="1"/>
  <c r="C106" i="174"/>
  <c r="B106" i="174"/>
  <c r="H106" i="174" s="1"/>
  <c r="Q108" i="174" l="1"/>
  <c r="R108" i="174" s="1"/>
  <c r="S108" i="174" s="1"/>
  <c r="T108" i="174" s="1"/>
  <c r="P112" i="174"/>
  <c r="P117" i="174"/>
  <c r="Q114" i="174"/>
  <c r="R114" i="174" s="1"/>
  <c r="S114" i="174" s="1"/>
  <c r="T114" i="174" s="1"/>
  <c r="Q117" i="174"/>
  <c r="R117" i="174" s="1"/>
  <c r="S117" i="174" s="1"/>
  <c r="T117" i="174" s="1"/>
  <c r="Q107" i="174"/>
  <c r="R107" i="174" s="1"/>
  <c r="S107" i="174" s="1"/>
  <c r="T107" i="174" s="1"/>
  <c r="P114" i="174"/>
  <c r="Q113" i="174"/>
  <c r="R113" i="174" s="1"/>
  <c r="S113" i="174" s="1"/>
  <c r="T113" i="174" s="1"/>
  <c r="P107" i="174"/>
  <c r="Q112" i="174"/>
  <c r="R112" i="174" s="1"/>
  <c r="S112" i="174" s="1"/>
  <c r="T112" i="174" s="1"/>
  <c r="S110" i="174"/>
  <c r="T110" i="174" s="1"/>
  <c r="S115" i="174"/>
  <c r="T115" i="174" s="1"/>
  <c r="S111" i="174"/>
  <c r="T111" i="174" s="1"/>
  <c r="S109" i="174"/>
  <c r="T109" i="174" s="1"/>
  <c r="S116" i="174"/>
  <c r="T116" i="174" s="1"/>
  <c r="S106" i="174"/>
  <c r="T106" i="174" s="1"/>
  <c r="O106" i="174"/>
  <c r="O111" i="174"/>
  <c r="O116" i="174"/>
  <c r="P106" i="174"/>
  <c r="P111" i="174"/>
  <c r="P116" i="174"/>
  <c r="O108" i="174"/>
  <c r="O113" i="174"/>
  <c r="O110" i="174"/>
  <c r="O115" i="174"/>
  <c r="P110" i="174"/>
  <c r="P115" i="174"/>
  <c r="O109" i="174"/>
  <c r="P109" i="174"/>
  <c r="N44" i="174" l="1"/>
  <c r="Q44" i="174" s="1"/>
  <c r="R44" i="174" s="1"/>
  <c r="C44" i="174"/>
  <c r="B44" i="174"/>
  <c r="N43" i="174"/>
  <c r="Q43" i="174" s="1"/>
  <c r="R43" i="174" s="1"/>
  <c r="C43" i="174"/>
  <c r="B43" i="174"/>
  <c r="N42" i="174"/>
  <c r="O42" i="174" s="1"/>
  <c r="C42" i="174"/>
  <c r="B42" i="174"/>
  <c r="N41" i="174"/>
  <c r="O41" i="174" s="1"/>
  <c r="F41" i="174"/>
  <c r="G41" i="174" s="1"/>
  <c r="C41" i="174"/>
  <c r="B41" i="174"/>
  <c r="H41" i="174" s="1"/>
  <c r="N40" i="174"/>
  <c r="P40" i="174" s="1"/>
  <c r="C40" i="174"/>
  <c r="B40" i="174"/>
  <c r="N39" i="174"/>
  <c r="Q39" i="174" s="1"/>
  <c r="R39" i="174" s="1"/>
  <c r="C39" i="174"/>
  <c r="B39" i="174"/>
  <c r="N38" i="174"/>
  <c r="Q38" i="174" s="1"/>
  <c r="R38" i="174" s="1"/>
  <c r="C38" i="174"/>
  <c r="B38" i="174"/>
  <c r="N37" i="174"/>
  <c r="Q37" i="174" s="1"/>
  <c r="R37" i="174" s="1"/>
  <c r="F37" i="174"/>
  <c r="G37" i="174" s="1"/>
  <c r="C37" i="174"/>
  <c r="B37" i="174"/>
  <c r="N36" i="174"/>
  <c r="P36" i="174" s="1"/>
  <c r="C36" i="174"/>
  <c r="B36" i="174"/>
  <c r="N35" i="174"/>
  <c r="P35" i="174" s="1"/>
  <c r="C35" i="174"/>
  <c r="B35" i="174"/>
  <c r="N34" i="174"/>
  <c r="P34" i="174" s="1"/>
  <c r="C34" i="174"/>
  <c r="B34" i="174"/>
  <c r="N33" i="174"/>
  <c r="Q33" i="174" s="1"/>
  <c r="R33" i="174" s="1"/>
  <c r="F33" i="174"/>
  <c r="G33" i="174" s="1"/>
  <c r="C33" i="174"/>
  <c r="B33" i="174"/>
  <c r="H33" i="174" s="1"/>
  <c r="P41" i="174" l="1"/>
  <c r="Q41" i="174"/>
  <c r="R41" i="174" s="1"/>
  <c r="Q40" i="174"/>
  <c r="R40" i="174" s="1"/>
  <c r="S40" i="174" s="1"/>
  <c r="T40" i="174" s="1"/>
  <c r="Q36" i="174"/>
  <c r="R36" i="174" s="1"/>
  <c r="Q35" i="174"/>
  <c r="R35" i="174" s="1"/>
  <c r="S35" i="174" s="1"/>
  <c r="T35" i="174" s="1"/>
  <c r="S37" i="174"/>
  <c r="T37" i="174" s="1"/>
  <c r="S39" i="174"/>
  <c r="T39" i="174" s="1"/>
  <c r="S43" i="174"/>
  <c r="T43" i="174" s="1"/>
  <c r="S38" i="174"/>
  <c r="T38" i="174" s="1"/>
  <c r="H37" i="174"/>
  <c r="S33" i="174"/>
  <c r="T33" i="174" s="1"/>
  <c r="S36" i="174"/>
  <c r="T36" i="174" s="1"/>
  <c r="S44" i="174"/>
  <c r="T44" i="174" s="1"/>
  <c r="O33" i="174"/>
  <c r="O38" i="174"/>
  <c r="O43" i="174"/>
  <c r="P33" i="174"/>
  <c r="O35" i="174"/>
  <c r="P38" i="174"/>
  <c r="P43" i="174"/>
  <c r="O40" i="174"/>
  <c r="S41" i="174"/>
  <c r="T41" i="174" s="1"/>
  <c r="P42" i="174"/>
  <c r="O34" i="174"/>
  <c r="Q42" i="174"/>
  <c r="R42" i="174" s="1"/>
  <c r="S42" i="174" s="1"/>
  <c r="T42" i="174" s="1"/>
  <c r="O44" i="174"/>
  <c r="O37" i="174"/>
  <c r="P37" i="174"/>
  <c r="O39" i="174"/>
  <c r="P39" i="174"/>
  <c r="P44" i="174"/>
  <c r="Q34" i="174"/>
  <c r="R34" i="174" s="1"/>
  <c r="S34" i="174" s="1"/>
  <c r="T34" i="174" s="1"/>
  <c r="O36" i="174"/>
  <c r="N73" i="174"/>
  <c r="Q73" i="174" s="1"/>
  <c r="R73" i="174" s="1"/>
  <c r="C73" i="174"/>
  <c r="B73" i="174"/>
  <c r="N72" i="174"/>
  <c r="Q72" i="174" s="1"/>
  <c r="R72" i="174" s="1"/>
  <c r="C72" i="174"/>
  <c r="B72" i="174"/>
  <c r="N71" i="174"/>
  <c r="P71" i="174" s="1"/>
  <c r="C71" i="174"/>
  <c r="B71" i="174"/>
  <c r="S72" i="174" l="1"/>
  <c r="T72" i="174" s="1"/>
  <c r="S73" i="174"/>
  <c r="T73" i="174" s="1"/>
  <c r="P72" i="174"/>
  <c r="O72" i="174"/>
  <c r="Q71" i="174"/>
  <c r="R71" i="174" s="1"/>
  <c r="S71" i="174" s="1"/>
  <c r="T71" i="174" s="1"/>
  <c r="O73" i="174"/>
  <c r="O71" i="174"/>
  <c r="P73" i="174"/>
  <c r="N161" i="174" l="1"/>
  <c r="Q161" i="174" s="1"/>
  <c r="R161" i="174" s="1"/>
  <c r="C161" i="174"/>
  <c r="B161" i="174"/>
  <c r="N160" i="174"/>
  <c r="Q160" i="174" s="1"/>
  <c r="R160" i="174" s="1"/>
  <c r="C160" i="174"/>
  <c r="B160" i="174"/>
  <c r="N159" i="174"/>
  <c r="Q159" i="174" s="1"/>
  <c r="R159" i="174" s="1"/>
  <c r="C159" i="174"/>
  <c r="B159" i="174"/>
  <c r="N158" i="174"/>
  <c r="O158" i="174" s="1"/>
  <c r="F158" i="174"/>
  <c r="G158" i="174" s="1"/>
  <c r="C158" i="174"/>
  <c r="B158" i="174"/>
  <c r="N157" i="174"/>
  <c r="P157" i="174" s="1"/>
  <c r="C157" i="174"/>
  <c r="B157" i="174"/>
  <c r="N156" i="174"/>
  <c r="Q156" i="174" s="1"/>
  <c r="R156" i="174" s="1"/>
  <c r="C156" i="174"/>
  <c r="B156" i="174"/>
  <c r="N155" i="174"/>
  <c r="Q155" i="174" s="1"/>
  <c r="R155" i="174" s="1"/>
  <c r="C155" i="174"/>
  <c r="B155" i="174"/>
  <c r="N154" i="174"/>
  <c r="Q154" i="174" s="1"/>
  <c r="R154" i="174" s="1"/>
  <c r="F154" i="174"/>
  <c r="G154" i="174" s="1"/>
  <c r="C154" i="174"/>
  <c r="B154" i="174"/>
  <c r="H154" i="174" s="1"/>
  <c r="N153" i="174"/>
  <c r="P153" i="174" s="1"/>
  <c r="C153" i="174"/>
  <c r="B153" i="174"/>
  <c r="N152" i="174"/>
  <c r="P152" i="174" s="1"/>
  <c r="C152" i="174"/>
  <c r="B152" i="174"/>
  <c r="N151" i="174"/>
  <c r="Q151" i="174" s="1"/>
  <c r="R151" i="174" s="1"/>
  <c r="C151" i="174"/>
  <c r="B151" i="174"/>
  <c r="N150" i="174"/>
  <c r="Q150" i="174" s="1"/>
  <c r="R150" i="174" s="1"/>
  <c r="F150" i="174"/>
  <c r="G150" i="174" s="1"/>
  <c r="C150" i="174"/>
  <c r="B150" i="174"/>
  <c r="H150" i="174" s="1"/>
  <c r="N149" i="174"/>
  <c r="Q149" i="174" s="1"/>
  <c r="R149" i="174" s="1"/>
  <c r="C149" i="174"/>
  <c r="B149" i="174"/>
  <c r="N148" i="174"/>
  <c r="O148" i="174" s="1"/>
  <c r="C148" i="174"/>
  <c r="B148" i="174"/>
  <c r="N147" i="174"/>
  <c r="P147" i="174" s="1"/>
  <c r="C147" i="174"/>
  <c r="B147" i="174"/>
  <c r="N146" i="174"/>
  <c r="Q146" i="174" s="1"/>
  <c r="R146" i="174" s="1"/>
  <c r="F146" i="174"/>
  <c r="G146" i="174" s="1"/>
  <c r="C146" i="174"/>
  <c r="B146" i="174"/>
  <c r="H146" i="174" s="1"/>
  <c r="N145" i="174"/>
  <c r="Q145" i="174" s="1"/>
  <c r="R145" i="174" s="1"/>
  <c r="C145" i="174"/>
  <c r="B145" i="174"/>
  <c r="N144" i="174"/>
  <c r="P144" i="174" s="1"/>
  <c r="C144" i="174"/>
  <c r="B144" i="174"/>
  <c r="N143" i="174"/>
  <c r="P143" i="174" s="1"/>
  <c r="C143" i="174"/>
  <c r="B143" i="174"/>
  <c r="N142" i="174"/>
  <c r="P142" i="174" s="1"/>
  <c r="F142" i="174"/>
  <c r="G142" i="174" s="1"/>
  <c r="C142" i="174"/>
  <c r="B142" i="174"/>
  <c r="H142" i="174" s="1"/>
  <c r="N141" i="174"/>
  <c r="O141" i="174" s="1"/>
  <c r="C141" i="174"/>
  <c r="B141" i="174"/>
  <c r="N140" i="174"/>
  <c r="Q140" i="174" s="1"/>
  <c r="R140" i="174" s="1"/>
  <c r="C140" i="174"/>
  <c r="B140" i="174"/>
  <c r="N139" i="174"/>
  <c r="P139" i="174" s="1"/>
  <c r="C139" i="174"/>
  <c r="B139" i="174"/>
  <c r="N138" i="174"/>
  <c r="O138" i="174" s="1"/>
  <c r="F138" i="174"/>
  <c r="G138" i="174" s="1"/>
  <c r="C138" i="174"/>
  <c r="B138" i="174"/>
  <c r="H138" i="174" s="1"/>
  <c r="N137" i="174"/>
  <c r="Q137" i="174" s="1"/>
  <c r="R137" i="174" s="1"/>
  <c r="C137" i="174"/>
  <c r="B137" i="174"/>
  <c r="N136" i="174"/>
  <c r="O136" i="174" s="1"/>
  <c r="C136" i="174"/>
  <c r="B136" i="174"/>
  <c r="N135" i="174"/>
  <c r="Q135" i="174" s="1"/>
  <c r="R135" i="174" s="1"/>
  <c r="C135" i="174"/>
  <c r="B135" i="174"/>
  <c r="N134" i="174"/>
  <c r="O134" i="174" s="1"/>
  <c r="F134" i="174"/>
  <c r="G134" i="174" s="1"/>
  <c r="C134" i="174"/>
  <c r="B134" i="174"/>
  <c r="H134" i="174" s="1"/>
  <c r="N133" i="174"/>
  <c r="Q133" i="174" s="1"/>
  <c r="R133" i="174" s="1"/>
  <c r="C133" i="174"/>
  <c r="B133" i="174"/>
  <c r="N132" i="174"/>
  <c r="Q132" i="174" s="1"/>
  <c r="R132" i="174" s="1"/>
  <c r="C132" i="174"/>
  <c r="B132" i="174"/>
  <c r="N131" i="174"/>
  <c r="O131" i="174" s="1"/>
  <c r="C131" i="174"/>
  <c r="B131" i="174"/>
  <c r="N130" i="174"/>
  <c r="P130" i="174" s="1"/>
  <c r="F130" i="174"/>
  <c r="G130" i="174" s="1"/>
  <c r="C130" i="174"/>
  <c r="B130" i="174"/>
  <c r="N129" i="174"/>
  <c r="Q129" i="174" s="1"/>
  <c r="R129" i="174" s="1"/>
  <c r="C129" i="174"/>
  <c r="B129" i="174"/>
  <c r="N128" i="174"/>
  <c r="Q128" i="174" s="1"/>
  <c r="R128" i="174" s="1"/>
  <c r="C128" i="174"/>
  <c r="B128" i="174"/>
  <c r="N127" i="174"/>
  <c r="Q127" i="174" s="1"/>
  <c r="R127" i="174" s="1"/>
  <c r="C127" i="174"/>
  <c r="B127" i="174"/>
  <c r="N126" i="174"/>
  <c r="Q126" i="174" s="1"/>
  <c r="R126" i="174" s="1"/>
  <c r="F126" i="174"/>
  <c r="G126" i="174" s="1"/>
  <c r="C126" i="174"/>
  <c r="B126" i="174"/>
  <c r="H126" i="174" s="1"/>
  <c r="N125" i="174"/>
  <c r="O125" i="174" s="1"/>
  <c r="C125" i="174"/>
  <c r="B125" i="174"/>
  <c r="N124" i="174"/>
  <c r="P124" i="174" s="1"/>
  <c r="C124" i="174"/>
  <c r="B124" i="174"/>
  <c r="N123" i="174"/>
  <c r="O123" i="174" s="1"/>
  <c r="C123" i="174"/>
  <c r="B123" i="174"/>
  <c r="N122" i="174"/>
  <c r="Q122" i="174" s="1"/>
  <c r="R122" i="174" s="1"/>
  <c r="F122" i="174"/>
  <c r="G122" i="174" s="1"/>
  <c r="C122" i="174"/>
  <c r="B122" i="174"/>
  <c r="N121" i="174"/>
  <c r="Q121" i="174" s="1"/>
  <c r="R121" i="174" s="1"/>
  <c r="C121" i="174"/>
  <c r="B121" i="174"/>
  <c r="N120" i="174"/>
  <c r="O120" i="174" s="1"/>
  <c r="C120" i="174"/>
  <c r="B120" i="174"/>
  <c r="N119" i="174"/>
  <c r="P119" i="174" s="1"/>
  <c r="C119" i="174"/>
  <c r="B119" i="174"/>
  <c r="N118" i="174"/>
  <c r="O118" i="174" s="1"/>
  <c r="F118" i="174"/>
  <c r="G118" i="174" s="1"/>
  <c r="C118" i="174"/>
  <c r="B118" i="174"/>
  <c r="H118" i="174" s="1"/>
  <c r="Q153" i="174" l="1"/>
  <c r="R153" i="174" s="1"/>
  <c r="S153" i="174" s="1"/>
  <c r="T153" i="174" s="1"/>
  <c r="P149" i="174"/>
  <c r="Q144" i="174"/>
  <c r="R144" i="174" s="1"/>
  <c r="S144" i="174" s="1"/>
  <c r="T144" i="174" s="1"/>
  <c r="Q148" i="174"/>
  <c r="R148" i="174" s="1"/>
  <c r="S148" i="174" s="1"/>
  <c r="T148" i="174" s="1"/>
  <c r="O153" i="174"/>
  <c r="Q143" i="174"/>
  <c r="R143" i="174" s="1"/>
  <c r="S143" i="174" s="1"/>
  <c r="T143" i="174" s="1"/>
  <c r="P148" i="174"/>
  <c r="O143" i="174"/>
  <c r="Q147" i="174"/>
  <c r="R147" i="174" s="1"/>
  <c r="S147" i="174" s="1"/>
  <c r="T147" i="174" s="1"/>
  <c r="O121" i="174"/>
  <c r="P121" i="174"/>
  <c r="O129" i="174"/>
  <c r="P125" i="174"/>
  <c r="P129" i="174"/>
  <c r="O144" i="174"/>
  <c r="Q125" i="174"/>
  <c r="R125" i="174" s="1"/>
  <c r="S125" i="174" s="1"/>
  <c r="T125" i="174" s="1"/>
  <c r="P134" i="174"/>
  <c r="P138" i="174"/>
  <c r="Q134" i="174"/>
  <c r="R134" i="174" s="1"/>
  <c r="S134" i="174" s="1"/>
  <c r="T134" i="174" s="1"/>
  <c r="Q138" i="174"/>
  <c r="R138" i="174" s="1"/>
  <c r="S138" i="174" s="1"/>
  <c r="T138" i="174" s="1"/>
  <c r="Q119" i="174"/>
  <c r="R119" i="174" s="1"/>
  <c r="S119" i="174" s="1"/>
  <c r="T119" i="174" s="1"/>
  <c r="Q142" i="174"/>
  <c r="R142" i="174" s="1"/>
  <c r="S142" i="174" s="1"/>
  <c r="T142" i="174" s="1"/>
  <c r="O119" i="174"/>
  <c r="Q152" i="174"/>
  <c r="R152" i="174" s="1"/>
  <c r="S152" i="174" s="1"/>
  <c r="T152" i="174" s="1"/>
  <c r="O149" i="174"/>
  <c r="P120" i="174"/>
  <c r="O139" i="174"/>
  <c r="Q157" i="174"/>
  <c r="R157" i="174" s="1"/>
  <c r="S157" i="174" s="1"/>
  <c r="T157" i="174" s="1"/>
  <c r="Q120" i="174"/>
  <c r="R120" i="174" s="1"/>
  <c r="S120" i="174" s="1"/>
  <c r="T120" i="174" s="1"/>
  <c r="O124" i="174"/>
  <c r="Q139" i="174"/>
  <c r="R139" i="174" s="1"/>
  <c r="S139" i="174" s="1"/>
  <c r="T139" i="174" s="1"/>
  <c r="Q124" i="174"/>
  <c r="R124" i="174" s="1"/>
  <c r="S124" i="174" s="1"/>
  <c r="T124" i="174" s="1"/>
  <c r="S154" i="174"/>
  <c r="T154" i="174" s="1"/>
  <c r="S151" i="174"/>
  <c r="T151" i="174" s="1"/>
  <c r="S122" i="174"/>
  <c r="T122" i="174" s="1"/>
  <c r="S156" i="174"/>
  <c r="T156" i="174" s="1"/>
  <c r="S140" i="174"/>
  <c r="T140" i="174" s="1"/>
  <c r="S133" i="174"/>
  <c r="T133" i="174" s="1"/>
  <c r="S137" i="174"/>
  <c r="T137" i="174" s="1"/>
  <c r="S127" i="174"/>
  <c r="T127" i="174" s="1"/>
  <c r="S135" i="174"/>
  <c r="T135" i="174" s="1"/>
  <c r="S128" i="174"/>
  <c r="T128" i="174" s="1"/>
  <c r="S160" i="174"/>
  <c r="T160" i="174" s="1"/>
  <c r="S150" i="174"/>
  <c r="T150" i="174" s="1"/>
  <c r="S155" i="174"/>
  <c r="T155" i="174" s="1"/>
  <c r="S146" i="174"/>
  <c r="T146" i="174" s="1"/>
  <c r="S149" i="174"/>
  <c r="T149" i="174" s="1"/>
  <c r="S129" i="174"/>
  <c r="T129" i="174" s="1"/>
  <c r="S126" i="174"/>
  <c r="T126" i="174" s="1"/>
  <c r="S121" i="174"/>
  <c r="T121" i="174" s="1"/>
  <c r="S159" i="174"/>
  <c r="T159" i="174" s="1"/>
  <c r="S145" i="174"/>
  <c r="T145" i="174" s="1"/>
  <c r="S161" i="174"/>
  <c r="T161" i="174" s="1"/>
  <c r="S132" i="174"/>
  <c r="T132" i="174" s="1"/>
  <c r="P136" i="174"/>
  <c r="O145" i="174"/>
  <c r="P140" i="174"/>
  <c r="P158" i="174"/>
  <c r="P122" i="174"/>
  <c r="P127" i="174"/>
  <c r="P132" i="174"/>
  <c r="P137" i="174"/>
  <c r="O150" i="174"/>
  <c r="O155" i="174"/>
  <c r="Q158" i="174"/>
  <c r="R158" i="174" s="1"/>
  <c r="S158" i="174" s="1"/>
  <c r="T158" i="174" s="1"/>
  <c r="O160" i="174"/>
  <c r="P126" i="174"/>
  <c r="P141" i="174"/>
  <c r="O128" i="174"/>
  <c r="Q131" i="174"/>
  <c r="R131" i="174" s="1"/>
  <c r="S131" i="174" s="1"/>
  <c r="T131" i="174" s="1"/>
  <c r="Q141" i="174"/>
  <c r="R141" i="174" s="1"/>
  <c r="S141" i="174" s="1"/>
  <c r="T141" i="174" s="1"/>
  <c r="O135" i="174"/>
  <c r="O140" i="174"/>
  <c r="P135" i="174"/>
  <c r="O137" i="174"/>
  <c r="P150" i="174"/>
  <c r="P155" i="174"/>
  <c r="P160" i="174"/>
  <c r="P131" i="174"/>
  <c r="H130" i="174"/>
  <c r="H158" i="174"/>
  <c r="O130" i="174"/>
  <c r="P145" i="174"/>
  <c r="O122" i="174"/>
  <c r="O127" i="174"/>
  <c r="Q130" i="174"/>
  <c r="R130" i="174" s="1"/>
  <c r="S130" i="174" s="1"/>
  <c r="T130" i="174" s="1"/>
  <c r="O132" i="174"/>
  <c r="O142" i="174"/>
  <c r="O147" i="174"/>
  <c r="O152" i="174"/>
  <c r="O157" i="174"/>
  <c r="O159" i="174"/>
  <c r="O133" i="174"/>
  <c r="Q136" i="174"/>
  <c r="R136" i="174" s="1"/>
  <c r="S136" i="174" s="1"/>
  <c r="T136" i="174" s="1"/>
  <c r="H122" i="174"/>
  <c r="O154" i="174"/>
  <c r="P154" i="174"/>
  <c r="P159" i="174"/>
  <c r="P118" i="174"/>
  <c r="P123" i="174"/>
  <c r="P128" i="174"/>
  <c r="P133" i="174"/>
  <c r="O146" i="174"/>
  <c r="O151" i="174"/>
  <c r="O156" i="174"/>
  <c r="O161" i="174"/>
  <c r="Q118" i="174"/>
  <c r="R118" i="174" s="1"/>
  <c r="S118" i="174" s="1"/>
  <c r="T118" i="174" s="1"/>
  <c r="Q123" i="174"/>
  <c r="R123" i="174" s="1"/>
  <c r="S123" i="174" s="1"/>
  <c r="T123" i="174" s="1"/>
  <c r="P146" i="174"/>
  <c r="P151" i="174"/>
  <c r="P156" i="174"/>
  <c r="P161" i="174"/>
  <c r="O126" i="174"/>
  <c r="N52" i="174" l="1"/>
  <c r="O52" i="174" s="1"/>
  <c r="C52" i="174"/>
  <c r="B52" i="174"/>
  <c r="N51" i="174"/>
  <c r="O51" i="174" s="1"/>
  <c r="C51" i="174"/>
  <c r="B51" i="174"/>
  <c r="N50" i="174"/>
  <c r="Q50" i="174" s="1"/>
  <c r="R50" i="174" s="1"/>
  <c r="C50" i="174"/>
  <c r="B50" i="174"/>
  <c r="N49" i="174"/>
  <c r="Q49" i="174" s="1"/>
  <c r="R49" i="174" s="1"/>
  <c r="F49" i="174"/>
  <c r="G49" i="174" s="1"/>
  <c r="C49" i="174"/>
  <c r="B49" i="174"/>
  <c r="H49" i="174" s="1"/>
  <c r="N48" i="174"/>
  <c r="Q48" i="174" s="1"/>
  <c r="R48" i="174" s="1"/>
  <c r="C48" i="174"/>
  <c r="B48" i="174"/>
  <c r="N47" i="174"/>
  <c r="Q47" i="174" s="1"/>
  <c r="R47" i="174" s="1"/>
  <c r="C47" i="174"/>
  <c r="B47" i="174"/>
  <c r="N46" i="174"/>
  <c r="P46" i="174" s="1"/>
  <c r="C46" i="174"/>
  <c r="B46" i="174"/>
  <c r="N45" i="174"/>
  <c r="O45" i="174" s="1"/>
  <c r="F45" i="174"/>
  <c r="G45" i="174" s="1"/>
  <c r="C45" i="174"/>
  <c r="B45" i="174"/>
  <c r="Q45" i="174" l="1"/>
  <c r="R45" i="174" s="1"/>
  <c r="S45" i="174" s="1"/>
  <c r="T45" i="174" s="1"/>
  <c r="Q51" i="174"/>
  <c r="R51" i="174" s="1"/>
  <c r="S51" i="174" s="1"/>
  <c r="T51" i="174" s="1"/>
  <c r="P48" i="174"/>
  <c r="Q46" i="174"/>
  <c r="R46" i="174" s="1"/>
  <c r="S46" i="174" s="1"/>
  <c r="T46" i="174" s="1"/>
  <c r="P51" i="174"/>
  <c r="O48" i="174"/>
  <c r="P52" i="174"/>
  <c r="P45" i="174"/>
  <c r="Q52" i="174"/>
  <c r="R52" i="174" s="1"/>
  <c r="S52" i="174" s="1"/>
  <c r="T52" i="174" s="1"/>
  <c r="S48" i="174"/>
  <c r="T48" i="174" s="1"/>
  <c r="S50" i="174"/>
  <c r="T50" i="174" s="1"/>
  <c r="S47" i="174"/>
  <c r="T47" i="174" s="1"/>
  <c r="S49" i="174"/>
  <c r="T49" i="174" s="1"/>
  <c r="P50" i="174"/>
  <c r="O50" i="174"/>
  <c r="O46" i="174"/>
  <c r="H45" i="174"/>
  <c r="O49" i="174"/>
  <c r="P49" i="174"/>
  <c r="O47" i="174"/>
  <c r="P47" i="174"/>
  <c r="N60" i="174"/>
  <c r="Q60" i="174" s="1"/>
  <c r="R60" i="174" s="1"/>
  <c r="C60" i="174"/>
  <c r="B60" i="174"/>
  <c r="N59" i="174"/>
  <c r="O59" i="174" s="1"/>
  <c r="C59" i="174"/>
  <c r="B59" i="174"/>
  <c r="N58" i="174"/>
  <c r="Q58" i="174" s="1"/>
  <c r="R58" i="174" s="1"/>
  <c r="C58" i="174"/>
  <c r="B58" i="174"/>
  <c r="N57" i="174"/>
  <c r="Q57" i="174" s="1"/>
  <c r="R57" i="174" s="1"/>
  <c r="F57" i="174"/>
  <c r="G57" i="174" s="1"/>
  <c r="C57" i="174"/>
  <c r="B57" i="174"/>
  <c r="P59" i="174" l="1"/>
  <c r="Q59" i="174"/>
  <c r="R59" i="174" s="1"/>
  <c r="S59" i="174" s="1"/>
  <c r="T59" i="174" s="1"/>
  <c r="S57" i="174"/>
  <c r="T57" i="174" s="1"/>
  <c r="S58" i="174"/>
  <c r="T58" i="174" s="1"/>
  <c r="S60" i="174"/>
  <c r="T60" i="174" s="1"/>
  <c r="O57" i="174"/>
  <c r="P57" i="174"/>
  <c r="P58" i="174"/>
  <c r="O58" i="174"/>
  <c r="O60" i="174"/>
  <c r="P60" i="174"/>
  <c r="H57" i="174"/>
  <c r="N205" i="174" l="1"/>
  <c r="Q205" i="174" s="1"/>
  <c r="R205" i="174" s="1"/>
  <c r="C205" i="174"/>
  <c r="B205" i="174"/>
  <c r="N204" i="174"/>
  <c r="Q204" i="174" s="1"/>
  <c r="R204" i="174" s="1"/>
  <c r="C204" i="174"/>
  <c r="B204" i="174"/>
  <c r="N203" i="174"/>
  <c r="Q203" i="174" s="1"/>
  <c r="R203" i="174" s="1"/>
  <c r="C203" i="174"/>
  <c r="B203" i="174"/>
  <c r="N202" i="174"/>
  <c r="Q202" i="174" s="1"/>
  <c r="R202" i="174" s="1"/>
  <c r="F202" i="174"/>
  <c r="G202" i="174" s="1"/>
  <c r="C202" i="174"/>
  <c r="B202" i="174"/>
  <c r="H202" i="174" s="1"/>
  <c r="N201" i="174"/>
  <c r="Q201" i="174" s="1"/>
  <c r="R201" i="174" s="1"/>
  <c r="C201" i="174"/>
  <c r="B201" i="174"/>
  <c r="N200" i="174"/>
  <c r="Q200" i="174" s="1"/>
  <c r="R200" i="174" s="1"/>
  <c r="C200" i="174"/>
  <c r="B200" i="174"/>
  <c r="N199" i="174"/>
  <c r="P199" i="174" s="1"/>
  <c r="C199" i="174"/>
  <c r="B199" i="174"/>
  <c r="N198" i="174"/>
  <c r="Q198" i="174" s="1"/>
  <c r="R198" i="174" s="1"/>
  <c r="F198" i="174"/>
  <c r="G198" i="174" s="1"/>
  <c r="C198" i="174"/>
  <c r="B198" i="174"/>
  <c r="H198" i="174" s="1"/>
  <c r="N197" i="174"/>
  <c r="P197" i="174" s="1"/>
  <c r="C197" i="174"/>
  <c r="B197" i="174"/>
  <c r="N196" i="174"/>
  <c r="P196" i="174" s="1"/>
  <c r="C196" i="174"/>
  <c r="B196" i="174"/>
  <c r="N195" i="174"/>
  <c r="O195" i="174" s="1"/>
  <c r="C195" i="174"/>
  <c r="B195" i="174"/>
  <c r="N194" i="174"/>
  <c r="P194" i="174" s="1"/>
  <c r="F194" i="174"/>
  <c r="G194" i="174" s="1"/>
  <c r="C194" i="174"/>
  <c r="B194" i="174"/>
  <c r="H194" i="174" s="1"/>
  <c r="N193" i="174"/>
  <c r="P193" i="174" s="1"/>
  <c r="C193" i="174"/>
  <c r="B193" i="174"/>
  <c r="N192" i="174"/>
  <c r="P192" i="174" s="1"/>
  <c r="C192" i="174"/>
  <c r="B192" i="174"/>
  <c r="N191" i="174"/>
  <c r="O191" i="174" s="1"/>
  <c r="C191" i="174"/>
  <c r="B191" i="174"/>
  <c r="N190" i="174"/>
  <c r="P190" i="174" s="1"/>
  <c r="F190" i="174"/>
  <c r="G190" i="174" s="1"/>
  <c r="C190" i="174"/>
  <c r="B190" i="174"/>
  <c r="H190" i="174" s="1"/>
  <c r="N189" i="174"/>
  <c r="P189" i="174" s="1"/>
  <c r="C189" i="174"/>
  <c r="B189" i="174"/>
  <c r="N188" i="174"/>
  <c r="Q188" i="174" s="1"/>
  <c r="R188" i="174" s="1"/>
  <c r="C188" i="174"/>
  <c r="B188" i="174"/>
  <c r="N187" i="174"/>
  <c r="O187" i="174" s="1"/>
  <c r="C187" i="174"/>
  <c r="B187" i="174"/>
  <c r="N186" i="174"/>
  <c r="P186" i="174" s="1"/>
  <c r="F186" i="174"/>
  <c r="G186" i="174" s="1"/>
  <c r="C186" i="174"/>
  <c r="B186" i="174"/>
  <c r="H186" i="174" s="1"/>
  <c r="N185" i="174"/>
  <c r="Q185" i="174" s="1"/>
  <c r="R185" i="174" s="1"/>
  <c r="C185" i="174"/>
  <c r="B185" i="174"/>
  <c r="N184" i="174"/>
  <c r="P184" i="174" s="1"/>
  <c r="C184" i="174"/>
  <c r="B184" i="174"/>
  <c r="N183" i="174"/>
  <c r="O183" i="174" s="1"/>
  <c r="C183" i="174"/>
  <c r="B183" i="174"/>
  <c r="N182" i="174"/>
  <c r="P182" i="174" s="1"/>
  <c r="F182" i="174"/>
  <c r="G182" i="174" s="1"/>
  <c r="C182" i="174"/>
  <c r="B182" i="174"/>
  <c r="H182" i="174" s="1"/>
  <c r="N181" i="174"/>
  <c r="P181" i="174" s="1"/>
  <c r="C181" i="174"/>
  <c r="B181" i="174"/>
  <c r="N180" i="174"/>
  <c r="P180" i="174" s="1"/>
  <c r="C180" i="174"/>
  <c r="B180" i="174"/>
  <c r="N179" i="174"/>
  <c r="P179" i="174" s="1"/>
  <c r="C179" i="174"/>
  <c r="B179" i="174"/>
  <c r="N178" i="174"/>
  <c r="P178" i="174" s="1"/>
  <c r="F178" i="174"/>
  <c r="G178" i="174" s="1"/>
  <c r="C178" i="174"/>
  <c r="B178" i="174"/>
  <c r="N177" i="174"/>
  <c r="P177" i="174" s="1"/>
  <c r="C177" i="174"/>
  <c r="B177" i="174"/>
  <c r="N176" i="174"/>
  <c r="Q176" i="174" s="1"/>
  <c r="R176" i="174" s="1"/>
  <c r="C176" i="174"/>
  <c r="B176" i="174"/>
  <c r="N175" i="174"/>
  <c r="C175" i="174"/>
  <c r="B175" i="174"/>
  <c r="N174" i="174"/>
  <c r="P174" i="174" s="1"/>
  <c r="F174" i="174"/>
  <c r="G174" i="174" s="1"/>
  <c r="C174" i="174"/>
  <c r="B174" i="174"/>
  <c r="N173" i="174"/>
  <c r="Q173" i="174" s="1"/>
  <c r="R173" i="174" s="1"/>
  <c r="C173" i="174"/>
  <c r="B173" i="174"/>
  <c r="N172" i="174"/>
  <c r="Q172" i="174" s="1"/>
  <c r="R172" i="174" s="1"/>
  <c r="C172" i="174"/>
  <c r="B172" i="174"/>
  <c r="N171" i="174"/>
  <c r="P171" i="174" s="1"/>
  <c r="C171" i="174"/>
  <c r="B171" i="174"/>
  <c r="N170" i="174"/>
  <c r="P170" i="174" s="1"/>
  <c r="F170" i="174"/>
  <c r="G170" i="174" s="1"/>
  <c r="C170" i="174"/>
  <c r="B170" i="174"/>
  <c r="N169" i="174"/>
  <c r="O169" i="174" s="1"/>
  <c r="C169" i="174"/>
  <c r="B169" i="174"/>
  <c r="N168" i="174"/>
  <c r="Q168" i="174" s="1"/>
  <c r="R168" i="174" s="1"/>
  <c r="C168" i="174"/>
  <c r="B168" i="174"/>
  <c r="N167" i="174"/>
  <c r="P167" i="174" s="1"/>
  <c r="C167" i="174"/>
  <c r="B167" i="174"/>
  <c r="N166" i="174"/>
  <c r="P166" i="174" s="1"/>
  <c r="F166" i="174"/>
  <c r="G166" i="174" s="1"/>
  <c r="C166" i="174"/>
  <c r="B166" i="174"/>
  <c r="N165" i="174"/>
  <c r="O165" i="174" s="1"/>
  <c r="C165" i="174"/>
  <c r="B165" i="174"/>
  <c r="N164" i="174"/>
  <c r="Q164" i="174" s="1"/>
  <c r="R164" i="174" s="1"/>
  <c r="C164" i="174"/>
  <c r="B164" i="174"/>
  <c r="N163" i="174"/>
  <c r="C163" i="174"/>
  <c r="B163" i="174"/>
  <c r="N162" i="174"/>
  <c r="P162" i="174" s="1"/>
  <c r="F162" i="174"/>
  <c r="G162" i="174" s="1"/>
  <c r="C162" i="174"/>
  <c r="B162" i="174"/>
  <c r="N64" i="174"/>
  <c r="P64" i="174" s="1"/>
  <c r="C64" i="174"/>
  <c r="B64" i="174"/>
  <c r="N63" i="174"/>
  <c r="P63" i="174" s="1"/>
  <c r="C63" i="174"/>
  <c r="B63" i="174"/>
  <c r="N62" i="174"/>
  <c r="Q62" i="174" s="1"/>
  <c r="R62" i="174" s="1"/>
  <c r="C62" i="174"/>
  <c r="B62" i="174"/>
  <c r="N61" i="174"/>
  <c r="O61" i="174" s="1"/>
  <c r="F61" i="174"/>
  <c r="G61" i="174" s="1"/>
  <c r="C61" i="174"/>
  <c r="B61" i="174"/>
  <c r="O185" i="174" l="1"/>
  <c r="Q192" i="174"/>
  <c r="R192" i="174" s="1"/>
  <c r="S192" i="174" s="1"/>
  <c r="T192" i="174" s="1"/>
  <c r="O197" i="174"/>
  <c r="O177" i="174"/>
  <c r="Q197" i="174"/>
  <c r="R197" i="174" s="1"/>
  <c r="S197" i="174" s="1"/>
  <c r="T197" i="174" s="1"/>
  <c r="Q63" i="174"/>
  <c r="R63" i="174" s="1"/>
  <c r="S63" i="174" s="1"/>
  <c r="T63" i="174" s="1"/>
  <c r="O64" i="174"/>
  <c r="Q189" i="174"/>
  <c r="R189" i="174" s="1"/>
  <c r="S189" i="174" s="1"/>
  <c r="T189" i="174" s="1"/>
  <c r="P191" i="174"/>
  <c r="Q194" i="174"/>
  <c r="R194" i="174" s="1"/>
  <c r="S194" i="174" s="1"/>
  <c r="T194" i="174" s="1"/>
  <c r="Q193" i="174"/>
  <c r="R193" i="174" s="1"/>
  <c r="S193" i="174" s="1"/>
  <c r="T193" i="174" s="1"/>
  <c r="P198" i="174"/>
  <c r="Q162" i="174"/>
  <c r="R162" i="174" s="1"/>
  <c r="S162" i="174" s="1"/>
  <c r="T162" i="174" s="1"/>
  <c r="O189" i="174"/>
  <c r="Q196" i="174"/>
  <c r="R196" i="174" s="1"/>
  <c r="S196" i="174" s="1"/>
  <c r="T196" i="174" s="1"/>
  <c r="Q64" i="174"/>
  <c r="R64" i="174" s="1"/>
  <c r="S64" i="174" s="1"/>
  <c r="T64" i="174" s="1"/>
  <c r="Q178" i="174"/>
  <c r="R178" i="174" s="1"/>
  <c r="S178" i="174" s="1"/>
  <c r="T178" i="174" s="1"/>
  <c r="O168" i="174"/>
  <c r="O196" i="174"/>
  <c r="O198" i="174"/>
  <c r="O172" i="174"/>
  <c r="O182" i="174"/>
  <c r="O184" i="174"/>
  <c r="P187" i="174"/>
  <c r="O190" i="174"/>
  <c r="O200" i="174"/>
  <c r="S204" i="174"/>
  <c r="T204" i="174" s="1"/>
  <c r="Q182" i="174"/>
  <c r="R182" i="174" s="1"/>
  <c r="S182" i="174" s="1"/>
  <c r="T182" i="174" s="1"/>
  <c r="Q190" i="174"/>
  <c r="R190" i="174" s="1"/>
  <c r="S190" i="174" s="1"/>
  <c r="T190" i="174" s="1"/>
  <c r="O192" i="174"/>
  <c r="O193" i="174"/>
  <c r="O181" i="174"/>
  <c r="O199" i="174"/>
  <c r="O204" i="174"/>
  <c r="O162" i="174"/>
  <c r="O164" i="174"/>
  <c r="O178" i="174"/>
  <c r="O180" i="174"/>
  <c r="O186" i="174"/>
  <c r="Q199" i="174"/>
  <c r="R199" i="174" s="1"/>
  <c r="S199" i="174" s="1"/>
  <c r="T199" i="174" s="1"/>
  <c r="P204" i="174"/>
  <c r="S200" i="174"/>
  <c r="T200" i="174" s="1"/>
  <c r="P61" i="174"/>
  <c r="P165" i="174"/>
  <c r="O166" i="174"/>
  <c r="P169" i="174"/>
  <c r="O170" i="174"/>
  <c r="O173" i="174"/>
  <c r="O174" i="174"/>
  <c r="O176" i="174"/>
  <c r="Q177" i="174"/>
  <c r="R177" i="174" s="1"/>
  <c r="S177" i="174" s="1"/>
  <c r="T177" i="174" s="1"/>
  <c r="Q180" i="174"/>
  <c r="R180" i="174" s="1"/>
  <c r="S180" i="174" s="1"/>
  <c r="T180" i="174" s="1"/>
  <c r="Q181" i="174"/>
  <c r="R181" i="174" s="1"/>
  <c r="S181" i="174" s="1"/>
  <c r="T181" i="174" s="1"/>
  <c r="Q184" i="174"/>
  <c r="R184" i="174" s="1"/>
  <c r="S184" i="174" s="1"/>
  <c r="T184" i="174" s="1"/>
  <c r="P185" i="174"/>
  <c r="Q186" i="174"/>
  <c r="R186" i="174" s="1"/>
  <c r="S186" i="174" s="1"/>
  <c r="T186" i="174" s="1"/>
  <c r="O188" i="174"/>
  <c r="P195" i="174"/>
  <c r="O202" i="174"/>
  <c r="Q61" i="174"/>
  <c r="R61" i="174" s="1"/>
  <c r="S61" i="174" s="1"/>
  <c r="T61" i="174" s="1"/>
  <c r="Q165" i="174"/>
  <c r="R165" i="174" s="1"/>
  <c r="S165" i="174" s="1"/>
  <c r="T165" i="174" s="1"/>
  <c r="Q166" i="174"/>
  <c r="R166" i="174" s="1"/>
  <c r="S166" i="174" s="1"/>
  <c r="T166" i="174" s="1"/>
  <c r="Q169" i="174"/>
  <c r="R169" i="174" s="1"/>
  <c r="S169" i="174" s="1"/>
  <c r="T169" i="174" s="1"/>
  <c r="Q170" i="174"/>
  <c r="R170" i="174" s="1"/>
  <c r="S170" i="174" s="1"/>
  <c r="T170" i="174" s="1"/>
  <c r="P173" i="174"/>
  <c r="Q174" i="174"/>
  <c r="R174" i="174" s="1"/>
  <c r="S174" i="174" s="1"/>
  <c r="T174" i="174" s="1"/>
  <c r="P188" i="174"/>
  <c r="P202" i="174"/>
  <c r="S62" i="174"/>
  <c r="T62" i="174" s="1"/>
  <c r="P183" i="174"/>
  <c r="O194" i="174"/>
  <c r="P200" i="174"/>
  <c r="S185" i="174"/>
  <c r="T185" i="174" s="1"/>
  <c r="P62" i="174"/>
  <c r="S173" i="174"/>
  <c r="T173" i="174" s="1"/>
  <c r="S176" i="174"/>
  <c r="T176" i="174" s="1"/>
  <c r="S188" i="174"/>
  <c r="T188" i="174" s="1"/>
  <c r="S198" i="174"/>
  <c r="T198" i="174" s="1"/>
  <c r="S205" i="174"/>
  <c r="T205" i="174" s="1"/>
  <c r="H170" i="174"/>
  <c r="H61" i="174"/>
  <c r="S168" i="174"/>
  <c r="T168" i="174" s="1"/>
  <c r="O171" i="174"/>
  <c r="Q171" i="174"/>
  <c r="R171" i="174" s="1"/>
  <c r="S171" i="174" s="1"/>
  <c r="T171" i="174" s="1"/>
  <c r="O62" i="174"/>
  <c r="O63" i="174"/>
  <c r="S172" i="174"/>
  <c r="T172" i="174" s="1"/>
  <c r="H174" i="174"/>
  <c r="O175" i="174"/>
  <c r="Q175" i="174"/>
  <c r="R175" i="174" s="1"/>
  <c r="S175" i="174" s="1"/>
  <c r="T175" i="174" s="1"/>
  <c r="H162" i="174"/>
  <c r="P175" i="174"/>
  <c r="H178" i="174"/>
  <c r="O179" i="174"/>
  <c r="Q179" i="174"/>
  <c r="R179" i="174" s="1"/>
  <c r="S179" i="174" s="1"/>
  <c r="T179" i="174" s="1"/>
  <c r="S201" i="174"/>
  <c r="T201" i="174" s="1"/>
  <c r="O163" i="174"/>
  <c r="Q163" i="174"/>
  <c r="R163" i="174" s="1"/>
  <c r="S163" i="174" s="1"/>
  <c r="T163" i="174" s="1"/>
  <c r="P163" i="174"/>
  <c r="H166" i="174"/>
  <c r="S164" i="174"/>
  <c r="T164" i="174" s="1"/>
  <c r="O167" i="174"/>
  <c r="Q167" i="174"/>
  <c r="R167" i="174" s="1"/>
  <c r="S167" i="174" s="1"/>
  <c r="T167" i="174" s="1"/>
  <c r="P164" i="174"/>
  <c r="P168" i="174"/>
  <c r="P172" i="174"/>
  <c r="P176" i="174"/>
  <c r="Q183" i="174"/>
  <c r="R183" i="174" s="1"/>
  <c r="S183" i="174" s="1"/>
  <c r="T183" i="174" s="1"/>
  <c r="Q187" i="174"/>
  <c r="R187" i="174" s="1"/>
  <c r="S187" i="174" s="1"/>
  <c r="T187" i="174" s="1"/>
  <c r="Q191" i="174"/>
  <c r="R191" i="174" s="1"/>
  <c r="S191" i="174" s="1"/>
  <c r="T191" i="174" s="1"/>
  <c r="Q195" i="174"/>
  <c r="R195" i="174" s="1"/>
  <c r="S195" i="174" s="1"/>
  <c r="T195" i="174" s="1"/>
  <c r="O203" i="174"/>
  <c r="P203" i="174"/>
  <c r="S202" i="174"/>
  <c r="T202" i="174" s="1"/>
  <c r="P205" i="174"/>
  <c r="O205" i="174"/>
  <c r="S203" i="174"/>
  <c r="T203" i="174" s="1"/>
  <c r="P201" i="174"/>
  <c r="O201" i="174"/>
  <c r="BD8" i="101" l="1"/>
  <c r="BD14" i="101" l="1"/>
  <c r="BD13" i="101"/>
  <c r="BD12" i="101"/>
  <c r="BD11" i="101"/>
  <c r="BD10" i="101"/>
  <c r="BD9" i="101"/>
  <c r="BD7" i="101"/>
  <c r="BD6" i="101"/>
  <c r="BC14" i="101"/>
  <c r="BC13" i="101"/>
  <c r="BC12" i="101"/>
  <c r="BC11" i="101"/>
  <c r="BC10" i="101"/>
  <c r="BC9" i="101"/>
  <c r="BC8" i="101"/>
  <c r="BC7" i="101"/>
  <c r="BC6" i="101"/>
  <c r="BD5" i="101"/>
  <c r="BC5" i="101"/>
  <c r="BB14" i="101"/>
  <c r="BB13" i="101"/>
  <c r="BB12" i="101"/>
  <c r="BB11" i="101"/>
  <c r="BB10" i="101"/>
  <c r="BB9" i="101"/>
  <c r="BB8" i="101"/>
  <c r="BB7" i="101"/>
  <c r="BB6" i="101"/>
  <c r="BB5" i="101"/>
  <c r="BA14" i="101"/>
  <c r="BA13" i="101"/>
  <c r="BA12" i="101"/>
  <c r="BA11" i="101"/>
  <c r="BA10" i="101"/>
  <c r="BA9" i="101"/>
  <c r="BA8" i="101"/>
  <c r="BA7" i="101"/>
  <c r="BA6" i="101"/>
  <c r="AZ13" i="101"/>
  <c r="AZ12" i="101"/>
  <c r="AZ11" i="101"/>
  <c r="AZ10" i="101"/>
  <c r="AZ9" i="101"/>
  <c r="AZ8" i="101"/>
  <c r="AZ7" i="101"/>
  <c r="AZ6" i="101"/>
  <c r="AZ14" i="101"/>
  <c r="BA5" i="101"/>
  <c r="AZ5" i="101"/>
  <c r="AY14" i="101"/>
  <c r="AY13" i="101"/>
  <c r="AY12" i="101"/>
  <c r="AY11" i="101"/>
  <c r="AY10" i="101"/>
  <c r="AY9" i="101"/>
  <c r="AY8" i="101"/>
  <c r="AY7" i="101"/>
  <c r="AY6" i="101"/>
  <c r="AY5" i="101"/>
  <c r="AX14" i="101"/>
  <c r="AX13" i="101"/>
  <c r="AX12" i="101"/>
  <c r="AX11" i="101"/>
  <c r="AX10" i="101"/>
  <c r="AX9" i="101"/>
  <c r="AX8" i="101"/>
  <c r="AX7" i="101"/>
  <c r="AX6" i="101"/>
  <c r="AW14" i="101"/>
  <c r="AW13" i="101"/>
  <c r="AW12" i="101"/>
  <c r="AW11" i="101"/>
  <c r="AW10" i="101"/>
  <c r="AW9" i="101"/>
  <c r="AW8" i="101"/>
  <c r="AW7" i="101"/>
  <c r="AW6" i="101"/>
  <c r="AX5" i="101"/>
  <c r="AW5" i="101"/>
  <c r="AV14" i="101"/>
  <c r="AV13" i="101"/>
  <c r="AV12" i="101"/>
  <c r="AV11" i="101"/>
  <c r="AV10" i="101"/>
  <c r="AV9" i="101"/>
  <c r="AV8" i="101"/>
  <c r="AV7" i="101"/>
  <c r="AV6" i="101"/>
  <c r="AV5" i="101"/>
  <c r="AU51" i="101"/>
  <c r="AU50" i="101"/>
  <c r="AU49" i="101"/>
  <c r="AU48" i="101"/>
  <c r="AU47" i="101"/>
  <c r="AU46" i="101"/>
  <c r="AU45" i="101"/>
  <c r="AU44" i="101"/>
  <c r="AU43" i="101"/>
  <c r="AU42" i="101"/>
  <c r="AU41" i="101"/>
  <c r="AU40" i="101"/>
  <c r="AU39" i="101"/>
  <c r="AU38" i="101"/>
  <c r="AU37" i="101"/>
  <c r="AU36" i="101"/>
  <c r="AU35" i="101"/>
  <c r="AU34" i="101"/>
  <c r="AU33" i="101"/>
  <c r="AU32" i="101"/>
  <c r="AU31" i="101"/>
  <c r="AU30" i="101"/>
  <c r="AU29" i="101"/>
  <c r="AU28" i="101"/>
  <c r="AU27" i="101"/>
  <c r="AU26" i="101"/>
  <c r="AU25" i="101"/>
  <c r="AU24" i="101"/>
  <c r="AU23" i="101"/>
  <c r="AU22" i="101"/>
  <c r="AU21" i="101"/>
  <c r="AU20" i="101"/>
  <c r="AU19" i="101"/>
  <c r="AU18" i="101"/>
  <c r="AU17" i="101"/>
  <c r="AU16" i="101"/>
  <c r="AT51" i="101"/>
  <c r="AT50" i="101"/>
  <c r="AT49" i="101"/>
  <c r="AT48" i="101"/>
  <c r="AT47" i="101"/>
  <c r="AT46" i="101"/>
  <c r="AT45" i="101"/>
  <c r="AT44" i="101"/>
  <c r="AT43" i="101"/>
  <c r="AT42" i="101"/>
  <c r="AT41" i="101"/>
  <c r="AT40" i="101"/>
  <c r="AT39" i="101"/>
  <c r="AT38" i="101"/>
  <c r="AT37" i="101"/>
  <c r="AT36" i="101"/>
  <c r="AT35" i="101"/>
  <c r="AT34" i="101"/>
  <c r="AT33" i="101"/>
  <c r="AT32" i="101"/>
  <c r="AT31" i="101"/>
  <c r="AT30" i="101"/>
  <c r="AT29" i="101"/>
  <c r="AT28" i="101"/>
  <c r="AT27" i="101"/>
  <c r="AT26" i="101"/>
  <c r="AT25" i="101"/>
  <c r="AT24" i="101"/>
  <c r="AT23" i="101"/>
  <c r="AT22" i="101"/>
  <c r="AT21" i="101"/>
  <c r="AT20" i="101"/>
  <c r="AT19" i="101"/>
  <c r="AT18" i="101"/>
  <c r="AT17" i="101"/>
  <c r="AT16" i="101"/>
  <c r="AU15" i="101"/>
  <c r="AT15" i="101"/>
  <c r="AS51" i="101"/>
  <c r="AS50" i="101"/>
  <c r="AS49" i="101"/>
  <c r="AS48" i="101"/>
  <c r="AS47" i="101"/>
  <c r="AS46" i="101"/>
  <c r="AS45" i="101"/>
  <c r="AS44" i="101"/>
  <c r="AS43" i="101"/>
  <c r="AS42" i="101"/>
  <c r="AS41" i="101"/>
  <c r="AS40" i="101"/>
  <c r="AS39" i="101"/>
  <c r="AS38" i="101"/>
  <c r="AS37" i="101"/>
  <c r="AS36" i="101"/>
  <c r="AS35" i="101"/>
  <c r="AS34" i="101"/>
  <c r="AS33" i="101"/>
  <c r="AS32" i="101"/>
  <c r="AS31" i="101"/>
  <c r="AS30" i="101"/>
  <c r="AS29" i="101"/>
  <c r="AS28" i="101"/>
  <c r="AS27" i="101"/>
  <c r="AS26" i="101"/>
  <c r="AS25" i="101"/>
  <c r="AS24" i="101"/>
  <c r="AS23" i="101"/>
  <c r="AS22" i="101"/>
  <c r="AS21" i="101"/>
  <c r="AS20" i="101"/>
  <c r="AS19" i="101"/>
  <c r="AS18" i="101"/>
  <c r="AS17" i="101"/>
  <c r="AS16" i="101"/>
  <c r="AS15" i="101"/>
  <c r="AO51" i="101"/>
  <c r="AO50" i="101"/>
  <c r="AO49" i="101"/>
  <c r="AO48" i="101"/>
  <c r="AO47" i="101"/>
  <c r="AO46" i="101"/>
  <c r="AO45" i="101"/>
  <c r="AO44" i="101"/>
  <c r="AO43" i="101"/>
  <c r="AO42" i="101"/>
  <c r="AO41" i="101"/>
  <c r="AO40" i="101"/>
  <c r="AO39" i="101"/>
  <c r="AO38" i="101"/>
  <c r="AO37" i="101"/>
  <c r="AO36" i="101"/>
  <c r="AO35" i="101"/>
  <c r="AO34" i="101"/>
  <c r="AO33" i="101"/>
  <c r="AO32" i="101"/>
  <c r="AO31" i="101"/>
  <c r="AO30" i="101"/>
  <c r="AO29" i="101"/>
  <c r="AO28" i="101"/>
  <c r="AO27" i="101"/>
  <c r="AO26" i="101"/>
  <c r="AO25" i="101"/>
  <c r="AO24" i="101"/>
  <c r="AO23" i="101"/>
  <c r="AO22" i="101"/>
  <c r="AO21" i="101"/>
  <c r="AO20" i="101"/>
  <c r="AO19" i="101"/>
  <c r="AO18" i="101"/>
  <c r="AO17" i="101"/>
  <c r="AO16" i="101"/>
  <c r="AN51" i="101"/>
  <c r="AN50" i="101"/>
  <c r="AN49" i="101"/>
  <c r="AN48" i="101"/>
  <c r="AN47" i="101"/>
  <c r="AN46" i="101"/>
  <c r="AN45" i="101"/>
  <c r="AN44" i="101"/>
  <c r="AN43" i="101"/>
  <c r="AN42" i="101"/>
  <c r="AN41" i="101"/>
  <c r="AN40" i="101"/>
  <c r="AN39" i="101"/>
  <c r="AN38" i="101"/>
  <c r="AN37" i="101"/>
  <c r="AN36" i="101"/>
  <c r="AN35" i="101"/>
  <c r="AN34" i="101"/>
  <c r="AN33" i="101"/>
  <c r="AN32" i="101"/>
  <c r="AN31" i="101"/>
  <c r="AN30" i="101"/>
  <c r="AN29" i="101"/>
  <c r="AN28" i="101"/>
  <c r="AN27" i="101"/>
  <c r="AN26" i="101"/>
  <c r="AN25" i="101"/>
  <c r="AN24" i="101"/>
  <c r="AN23" i="101"/>
  <c r="AN22" i="101"/>
  <c r="AN21" i="101"/>
  <c r="AN20" i="101"/>
  <c r="AN19" i="101"/>
  <c r="AN18" i="101"/>
  <c r="AN17" i="101"/>
  <c r="AN16" i="101"/>
  <c r="AP51" i="101"/>
  <c r="AO15" i="101"/>
  <c r="AN15" i="101"/>
  <c r="AR51" i="101"/>
  <c r="AR50" i="101"/>
  <c r="AR49" i="101"/>
  <c r="AR48" i="101"/>
  <c r="AR47" i="101"/>
  <c r="AR46" i="101"/>
  <c r="AR45" i="101"/>
  <c r="AR44" i="101"/>
  <c r="AR43" i="101"/>
  <c r="AR42" i="101"/>
  <c r="AR41" i="101"/>
  <c r="AR40" i="101"/>
  <c r="AR39" i="101"/>
  <c r="AR38" i="101"/>
  <c r="AR37" i="101"/>
  <c r="AR36" i="101"/>
  <c r="AR35" i="101"/>
  <c r="AR34" i="101"/>
  <c r="AR33" i="101"/>
  <c r="AR32" i="101"/>
  <c r="AR31" i="101"/>
  <c r="AR30" i="101"/>
  <c r="AR29" i="101"/>
  <c r="AR28" i="101"/>
  <c r="AR27" i="101"/>
  <c r="AR26" i="101"/>
  <c r="AR25" i="101"/>
  <c r="AR24" i="101"/>
  <c r="AR23" i="101"/>
  <c r="AR22" i="101"/>
  <c r="AR21" i="101"/>
  <c r="AR20" i="101"/>
  <c r="AR19" i="101"/>
  <c r="AR18" i="101"/>
  <c r="AR17" i="101"/>
  <c r="AR16" i="101"/>
  <c r="AQ51" i="101"/>
  <c r="AQ50" i="101"/>
  <c r="AQ49" i="101"/>
  <c r="AQ48" i="101"/>
  <c r="AQ47" i="101"/>
  <c r="AQ46" i="101"/>
  <c r="AQ45" i="101"/>
  <c r="AQ44" i="101"/>
  <c r="AQ43" i="101"/>
  <c r="AQ42" i="101"/>
  <c r="AQ41" i="101"/>
  <c r="AQ40" i="101"/>
  <c r="AQ39" i="101"/>
  <c r="AQ38" i="101"/>
  <c r="AQ37" i="101"/>
  <c r="AQ36" i="101"/>
  <c r="AQ35" i="101"/>
  <c r="AQ34" i="101"/>
  <c r="AQ33" i="101"/>
  <c r="AQ32" i="101"/>
  <c r="AQ31" i="101"/>
  <c r="AQ30" i="101"/>
  <c r="AQ29" i="101"/>
  <c r="AQ28" i="101"/>
  <c r="AQ27" i="101"/>
  <c r="AQ26" i="101"/>
  <c r="AQ25" i="101"/>
  <c r="AQ24" i="101"/>
  <c r="AQ23" i="101"/>
  <c r="AQ22" i="101"/>
  <c r="AQ21" i="101"/>
  <c r="AQ20" i="101"/>
  <c r="AQ19" i="101"/>
  <c r="AQ18" i="101"/>
  <c r="AQ17" i="101"/>
  <c r="AQ16" i="101"/>
  <c r="AR15" i="101"/>
  <c r="AQ15" i="101"/>
  <c r="AP50" i="101"/>
  <c r="AP49" i="101"/>
  <c r="AP48" i="101"/>
  <c r="AP47" i="101"/>
  <c r="AP46" i="101"/>
  <c r="AP45" i="101"/>
  <c r="AP44" i="101"/>
  <c r="AP43" i="101"/>
  <c r="AP42" i="101"/>
  <c r="AP41" i="101"/>
  <c r="AP40" i="101"/>
  <c r="AP39" i="101"/>
  <c r="AP38" i="101"/>
  <c r="AP37" i="101"/>
  <c r="AP36" i="101"/>
  <c r="AP35" i="101"/>
  <c r="AP34" i="101"/>
  <c r="AP33" i="101"/>
  <c r="AP32" i="101"/>
  <c r="AP31" i="101"/>
  <c r="AP30" i="101"/>
  <c r="AP29" i="101"/>
  <c r="AP28" i="101"/>
  <c r="AP27" i="101"/>
  <c r="AP26" i="101"/>
  <c r="AP25" i="101"/>
  <c r="AP24" i="101"/>
  <c r="AP23" i="101"/>
  <c r="AP22" i="101"/>
  <c r="AP21" i="101"/>
  <c r="AP20" i="101"/>
  <c r="AP19" i="101"/>
  <c r="AP18" i="101"/>
  <c r="AP17" i="101"/>
  <c r="AP16" i="101"/>
  <c r="AP15" i="101"/>
  <c r="AM51" i="101"/>
  <c r="AM50" i="101"/>
  <c r="AM49" i="101"/>
  <c r="AM48" i="101"/>
  <c r="AM47" i="101"/>
  <c r="AM46" i="101"/>
  <c r="AM45" i="101"/>
  <c r="AM44" i="101"/>
  <c r="AM43" i="101"/>
  <c r="AM42" i="101"/>
  <c r="AM41" i="101"/>
  <c r="AM40" i="101"/>
  <c r="AM39" i="101"/>
  <c r="AM38" i="101"/>
  <c r="AM37" i="101"/>
  <c r="AM36" i="101"/>
  <c r="AM35" i="101"/>
  <c r="AM34" i="101"/>
  <c r="AM33" i="101"/>
  <c r="AM32" i="101"/>
  <c r="AM31" i="101"/>
  <c r="AM30" i="101"/>
  <c r="AM29" i="101"/>
  <c r="AM28" i="101"/>
  <c r="AM27" i="101"/>
  <c r="AM26" i="101"/>
  <c r="AM25" i="101"/>
  <c r="AM24" i="101"/>
  <c r="AM23" i="101"/>
  <c r="AM22" i="101"/>
  <c r="AM21" i="101"/>
  <c r="AM20" i="101"/>
  <c r="AM19" i="101"/>
  <c r="AM18" i="101"/>
  <c r="AM17" i="101"/>
  <c r="AM16" i="101"/>
  <c r="AM15" i="101"/>
</calcChain>
</file>

<file path=xl/sharedStrings.xml><?xml version="1.0" encoding="utf-8"?>
<sst xmlns="http://schemas.openxmlformats.org/spreadsheetml/2006/main" count="6387" uniqueCount="1704">
  <si>
    <t>LGM-G600K</t>
  </si>
  <si>
    <t>LG-F800K</t>
  </si>
  <si>
    <t>구분</t>
  </si>
  <si>
    <t>갤럭시 S8</t>
  </si>
  <si>
    <t>갤럭시 S8 플러스</t>
  </si>
  <si>
    <t>NP30K</t>
  </si>
  <si>
    <t>구분</t>
    <phoneticPr fontId="2" type="noConversion"/>
  </si>
  <si>
    <t>SM-G960NK</t>
    <phoneticPr fontId="2" type="noConversion"/>
  </si>
  <si>
    <t>SM-J710K</t>
  </si>
  <si>
    <t>LM-X410K</t>
    <phoneticPr fontId="2" type="noConversion"/>
  </si>
  <si>
    <t>SM-G977NK</t>
    <phoneticPr fontId="2" type="noConversion"/>
  </si>
  <si>
    <t>LM-V500NK</t>
    <phoneticPr fontId="2" type="noConversion"/>
  </si>
  <si>
    <t>SM-A305NK</t>
    <phoneticPr fontId="2" type="noConversion"/>
  </si>
  <si>
    <t>LM-G820NK</t>
    <phoneticPr fontId="2" type="noConversion"/>
  </si>
  <si>
    <t>SM-A505NK</t>
    <phoneticPr fontId="2" type="noConversion"/>
  </si>
  <si>
    <t>SM-A202K</t>
    <phoneticPr fontId="2" type="noConversion"/>
  </si>
  <si>
    <t>SM-G970NK</t>
    <phoneticPr fontId="2" type="noConversion"/>
  </si>
  <si>
    <t>SM-G973NK</t>
    <phoneticPr fontId="2" type="noConversion"/>
  </si>
  <si>
    <t>SM-N971NK</t>
    <phoneticPr fontId="2" type="noConversion"/>
  </si>
  <si>
    <t>SM-N976NK</t>
    <phoneticPr fontId="2" type="noConversion"/>
  </si>
  <si>
    <t>SM-A908NK</t>
    <phoneticPr fontId="2" type="noConversion"/>
  </si>
  <si>
    <t>LM-V510NK</t>
    <phoneticPr fontId="2" type="noConversion"/>
  </si>
  <si>
    <t>AIP11(P/PM)</t>
    <phoneticPr fontId="2" type="noConversion"/>
  </si>
  <si>
    <t>SM-A102N0</t>
    <phoneticPr fontId="2" type="noConversion"/>
  </si>
  <si>
    <t>SM-G965NK</t>
    <phoneticPr fontId="2" type="noConversion"/>
  </si>
  <si>
    <t>HW-ANE-LX2J</t>
    <phoneticPr fontId="2" type="noConversion"/>
  </si>
  <si>
    <t>SM-A750NK</t>
    <phoneticPr fontId="2" type="noConversion"/>
  </si>
  <si>
    <t>SM-A605K</t>
    <phoneticPr fontId="2" type="noConversion"/>
  </si>
  <si>
    <t>SM-G887NK</t>
    <phoneticPr fontId="2" type="noConversion"/>
  </si>
  <si>
    <t>제조사</t>
    <phoneticPr fontId="11" type="noConversion"/>
  </si>
  <si>
    <t>단말정보</t>
    <phoneticPr fontId="6" type="noConversion"/>
  </si>
  <si>
    <t>매입가</t>
    <phoneticPr fontId="11" type="noConversion"/>
  </si>
  <si>
    <t>모델명</t>
    <phoneticPr fontId="11" type="noConversion"/>
  </si>
  <si>
    <t>펫네임</t>
    <phoneticPr fontId="6" type="noConversion"/>
  </si>
  <si>
    <t>A+</t>
    <phoneticPr fontId="2" type="noConversion"/>
  </si>
  <si>
    <t>A</t>
    <phoneticPr fontId="2" type="noConversion"/>
  </si>
  <si>
    <t>B</t>
  </si>
  <si>
    <t>애플</t>
    <phoneticPr fontId="2" type="noConversion"/>
  </si>
  <si>
    <t>AIP6 16</t>
  </si>
  <si>
    <t>아이폰 6</t>
  </si>
  <si>
    <t>AIP6 64</t>
  </si>
  <si>
    <t>AIP6 128</t>
  </si>
  <si>
    <t>AIP6P 16</t>
  </si>
  <si>
    <t>아이폰 6+</t>
  </si>
  <si>
    <t>AIP6P 64</t>
  </si>
  <si>
    <t>AIP6P 128</t>
  </si>
  <si>
    <t>AIP6S 16</t>
  </si>
  <si>
    <t>아이폰 6S</t>
  </si>
  <si>
    <t>AIP6S 64</t>
  </si>
  <si>
    <t>AIP6S 128</t>
  </si>
  <si>
    <t>AIP6SP 16</t>
  </si>
  <si>
    <t>아이폰 6S+</t>
  </si>
  <si>
    <t>AIP6SP 64</t>
  </si>
  <si>
    <t>AIP6SP 128</t>
  </si>
  <si>
    <t>AIP7 32</t>
  </si>
  <si>
    <t>아이폰 7</t>
  </si>
  <si>
    <t>AIP7 128</t>
  </si>
  <si>
    <t>AIP7 256</t>
  </si>
  <si>
    <t>AIP7P 32</t>
  </si>
  <si>
    <t>아이폰 7+</t>
  </si>
  <si>
    <t>AIP7P 128</t>
  </si>
  <si>
    <t>AIP7P 256</t>
  </si>
  <si>
    <t>AIP8 64</t>
  </si>
  <si>
    <t>아이폰 8</t>
  </si>
  <si>
    <t>AIP8 256</t>
  </si>
  <si>
    <t>AIP8P 64</t>
  </si>
  <si>
    <t>아이폰 8+</t>
  </si>
  <si>
    <t>AIP8P 256</t>
  </si>
  <si>
    <t>AIPX 64</t>
  </si>
  <si>
    <t>아이폰 X</t>
  </si>
  <si>
    <t>AIPX 256</t>
  </si>
  <si>
    <t>AIPXR 64</t>
    <phoneticPr fontId="2" type="noConversion"/>
  </si>
  <si>
    <t>아이폰 XR</t>
    <phoneticPr fontId="2" type="noConversion"/>
  </si>
  <si>
    <t>AIPXR 128</t>
    <phoneticPr fontId="2" type="noConversion"/>
  </si>
  <si>
    <t>아이폰 XR</t>
  </si>
  <si>
    <t>AIPXR 256</t>
    <phoneticPr fontId="2" type="noConversion"/>
  </si>
  <si>
    <t>AIPXS 64</t>
    <phoneticPr fontId="2" type="noConversion"/>
  </si>
  <si>
    <t>아이폰 XS</t>
    <phoneticPr fontId="2" type="noConversion"/>
  </si>
  <si>
    <t>AIPXS 256</t>
    <phoneticPr fontId="2" type="noConversion"/>
  </si>
  <si>
    <t>아이폰 XS</t>
  </si>
  <si>
    <t>AIPXS 512</t>
    <phoneticPr fontId="2" type="noConversion"/>
  </si>
  <si>
    <t>AIPXSM 64</t>
    <phoneticPr fontId="2" type="noConversion"/>
  </si>
  <si>
    <t>아이폰 XS MAX</t>
    <phoneticPr fontId="2" type="noConversion"/>
  </si>
  <si>
    <t>AIPXSM 256</t>
    <phoneticPr fontId="2" type="noConversion"/>
  </si>
  <si>
    <t>아이폰 XS MAX</t>
  </si>
  <si>
    <t>AIPXSM 512</t>
    <phoneticPr fontId="2" type="noConversion"/>
  </si>
  <si>
    <t>삼성</t>
    <phoneticPr fontId="2" type="noConversion"/>
  </si>
  <si>
    <t>SM-G920K/S/L</t>
  </si>
  <si>
    <t>갤럭시 S6</t>
  </si>
  <si>
    <t>SM-G925K/S/L</t>
  </si>
  <si>
    <t>갤럭시 S6 엣지</t>
  </si>
  <si>
    <t>SM-G928K/S/L</t>
  </si>
  <si>
    <t>갤럭시 S6 엣지 Plus</t>
  </si>
  <si>
    <t>SM-G930K/S/L</t>
  </si>
  <si>
    <t>갤럭시 S7</t>
  </si>
  <si>
    <t>SM-G935K/S/L</t>
  </si>
  <si>
    <t>갤럭시 S7 엣지</t>
  </si>
  <si>
    <t>SM-950N(K/S/L)</t>
  </si>
  <si>
    <t>SM-G955N(K/S/L)</t>
  </si>
  <si>
    <t>SM-G960</t>
  </si>
  <si>
    <t>갤럭시 S9</t>
  </si>
  <si>
    <t>SM-G965</t>
  </si>
  <si>
    <t>갤럭시 S9 플러스</t>
  </si>
  <si>
    <t>SM-A510K/S/L</t>
  </si>
  <si>
    <t>갤럭시 A 5 2016</t>
  </si>
  <si>
    <t>SM-A520K/S/L</t>
  </si>
  <si>
    <t>갤럭시 A 5 2017</t>
  </si>
  <si>
    <t>SM-A710K/S/L</t>
  </si>
  <si>
    <t>갤럭시 A 7 2016</t>
  </si>
  <si>
    <t>SM-A750N</t>
    <phoneticPr fontId="2" type="noConversion"/>
  </si>
  <si>
    <t>갤럭시 A 7 2018</t>
    <phoneticPr fontId="2" type="noConversion"/>
  </si>
  <si>
    <t>SM-A530N</t>
    <phoneticPr fontId="2" type="noConversion"/>
  </si>
  <si>
    <t>갤럭시 A 8 2018</t>
    <phoneticPr fontId="2" type="noConversion"/>
  </si>
  <si>
    <t>SM-G610</t>
  </si>
  <si>
    <t>갤럭시ON7</t>
  </si>
  <si>
    <t>SM-N910K/S/L</t>
  </si>
  <si>
    <t>갤럭시 노트4</t>
  </si>
  <si>
    <t>SM-N916K/S/L</t>
  </si>
  <si>
    <t>갤럭시 노트4 S-LTE</t>
  </si>
  <si>
    <t>SM-N920K</t>
  </si>
  <si>
    <t>갤럭시 노트5</t>
  </si>
  <si>
    <t>SM-N935K</t>
  </si>
  <si>
    <t>갤럭시 노트 FE</t>
  </si>
  <si>
    <t>SM-N950K</t>
  </si>
  <si>
    <t>갤럭시 노트8</t>
  </si>
  <si>
    <t>SM-N960K</t>
  </si>
  <si>
    <t>갤럭시 노트9</t>
  </si>
  <si>
    <t>SM-J510</t>
  </si>
  <si>
    <t>갤럭시 J5 2016</t>
  </si>
  <si>
    <t>SM-J530</t>
    <phoneticPr fontId="2" type="noConversion"/>
  </si>
  <si>
    <t>갤럭시 J5 2017</t>
  </si>
  <si>
    <t>Galaxy J7 2016</t>
  </si>
  <si>
    <t>SM-J730K</t>
    <phoneticPr fontId="2" type="noConversion"/>
  </si>
  <si>
    <t>Galaxy J7 2017</t>
  </si>
  <si>
    <t>엘지</t>
    <phoneticPr fontId="2" type="noConversion"/>
  </si>
  <si>
    <t>G6</t>
  </si>
  <si>
    <t>LGM-G710K</t>
    <phoneticPr fontId="2" type="noConversion"/>
  </si>
  <si>
    <t>G7</t>
  </si>
  <si>
    <t>LG-F600K</t>
  </si>
  <si>
    <t>V10</t>
  </si>
  <si>
    <t>V20</t>
  </si>
  <si>
    <t>LG-V300K</t>
  </si>
  <si>
    <t>V30</t>
  </si>
  <si>
    <t>LG-X600</t>
  </si>
  <si>
    <t>Q6</t>
  </si>
  <si>
    <t>신규</t>
    <phoneticPr fontId="2" type="noConversion"/>
  </si>
  <si>
    <t>MNP</t>
    <phoneticPr fontId="2" type="noConversion"/>
  </si>
  <si>
    <t>SM-F907NK</t>
    <phoneticPr fontId="2" type="noConversion"/>
  </si>
  <si>
    <t>SM-N960NK</t>
    <phoneticPr fontId="2" type="noConversion"/>
  </si>
  <si>
    <t>SM-G973NK_R</t>
    <phoneticPr fontId="2" type="noConversion"/>
  </si>
  <si>
    <t>SM-G975NK_R</t>
    <phoneticPr fontId="2" type="noConversion"/>
  </si>
  <si>
    <t>SM-G975NK</t>
    <phoneticPr fontId="2" type="noConversion"/>
  </si>
  <si>
    <t>SM-J330N0</t>
    <phoneticPr fontId="2" type="noConversion"/>
  </si>
  <si>
    <t>SM-G160N32</t>
    <phoneticPr fontId="2" type="noConversion"/>
  </si>
  <si>
    <t>LM-V409K</t>
    <phoneticPr fontId="2" type="noConversion"/>
  </si>
  <si>
    <t>LM-Q925K</t>
    <phoneticPr fontId="2" type="noConversion"/>
  </si>
  <si>
    <t>LM-X625NK</t>
    <phoneticPr fontId="2" type="noConversion"/>
  </si>
  <si>
    <t>LM-X510K</t>
    <phoneticPr fontId="2" type="noConversion"/>
  </si>
  <si>
    <t>LM-X420K</t>
    <phoneticPr fontId="2" type="noConversion"/>
  </si>
  <si>
    <t>LM-X220K</t>
    <phoneticPr fontId="2" type="noConversion"/>
  </si>
  <si>
    <t>아이폰7(P)</t>
    <phoneticPr fontId="2" type="noConversion"/>
  </si>
  <si>
    <t>아이폰8(P)</t>
    <phoneticPr fontId="2" type="noConversion"/>
  </si>
  <si>
    <t>아이폰X</t>
    <phoneticPr fontId="2" type="noConversion"/>
  </si>
  <si>
    <t>전환</t>
    <phoneticPr fontId="2" type="noConversion"/>
  </si>
  <si>
    <t>SM-F700NK</t>
    <phoneticPr fontId="2" type="noConversion"/>
  </si>
  <si>
    <t>AIPXS/XR/MAX</t>
    <phoneticPr fontId="2" type="noConversion"/>
  </si>
  <si>
    <t>AIPXS/XR/MAX(리패)</t>
    <phoneticPr fontId="2" type="noConversion"/>
  </si>
  <si>
    <t>WAS-LX2J(B)</t>
    <phoneticPr fontId="2" type="noConversion"/>
  </si>
  <si>
    <t>LTE69/5G베이직이상</t>
    <phoneticPr fontId="2" type="noConversion"/>
  </si>
  <si>
    <t>SM-G981NK</t>
    <phoneticPr fontId="2" type="noConversion"/>
  </si>
  <si>
    <t>SM-G986NK</t>
    <phoneticPr fontId="2" type="noConversion"/>
  </si>
  <si>
    <t>SM-G988NK</t>
    <phoneticPr fontId="2" type="noConversion"/>
  </si>
  <si>
    <t>LM-Q510NK</t>
    <phoneticPr fontId="2" type="noConversion"/>
  </si>
  <si>
    <t>LM-Q727K</t>
    <phoneticPr fontId="2" type="noConversion"/>
  </si>
  <si>
    <t>■4월 정책(AA00277)</t>
    <phoneticPr fontId="2" type="noConversion"/>
  </si>
  <si>
    <t>★정책번호 1호 [기본정책]</t>
    <phoneticPr fontId="2" type="noConversion"/>
  </si>
  <si>
    <t>★2호정책 [프리미엄확대정책]</t>
    <phoneticPr fontId="2" type="noConversion"/>
  </si>
  <si>
    <t>★4호정책 [ARPU확대정책]</t>
    <phoneticPr fontId="2" type="noConversion"/>
  </si>
  <si>
    <t>베이직 플러스 이상</t>
    <phoneticPr fontId="2" type="noConversion"/>
  </si>
  <si>
    <t>LTE33~49 미만/ 5G슬림</t>
    <phoneticPr fontId="2" type="noConversion"/>
  </si>
  <si>
    <t>AIPX-64</t>
    <phoneticPr fontId="2" type="noConversion"/>
  </si>
  <si>
    <t>LTE49/5G베이직이상</t>
    <phoneticPr fontId="2" type="noConversion"/>
  </si>
  <si>
    <t>■5호 [판촉강화정책]</t>
    <phoneticPr fontId="2" type="noConversion"/>
  </si>
  <si>
    <t>■5-1호 [판촉강화정책]</t>
    <phoneticPr fontId="2" type="noConversion"/>
  </si>
  <si>
    <t>33이상
(19.8/275포함)</t>
    <phoneticPr fontId="2" type="noConversion"/>
  </si>
  <si>
    <t>49이상</t>
    <phoneticPr fontId="2" type="noConversion"/>
  </si>
  <si>
    <t>69이상</t>
    <phoneticPr fontId="2" type="noConversion"/>
  </si>
  <si>
    <t>5G슬림</t>
    <phoneticPr fontId="2" type="noConversion"/>
  </si>
  <si>
    <t>5G베이직</t>
    <phoneticPr fontId="2" type="noConversion"/>
  </si>
  <si>
    <t>5G베이직PLUS</t>
    <phoneticPr fontId="2" type="noConversion"/>
  </si>
  <si>
    <t>기변</t>
    <phoneticPr fontId="2" type="noConversion"/>
  </si>
  <si>
    <t>기변</t>
    <phoneticPr fontId="2" type="noConversion"/>
  </si>
  <si>
    <t>■최종정책</t>
    <phoneticPr fontId="2" type="noConversion"/>
  </si>
  <si>
    <t>LTE</t>
    <phoneticPr fontId="2" type="noConversion"/>
  </si>
  <si>
    <t>출고가</t>
    <phoneticPr fontId="2" type="noConversion"/>
  </si>
  <si>
    <t>LTE</t>
  </si>
  <si>
    <t>SM-T975N0</t>
  </si>
  <si>
    <t>갤탭S7+ LTE</t>
  </si>
  <si>
    <t>고객</t>
    <phoneticPr fontId="2" type="noConversion"/>
  </si>
  <si>
    <t>SM-A325NK</t>
  </si>
  <si>
    <t>권유자</t>
    <phoneticPr fontId="2" type="noConversion"/>
  </si>
  <si>
    <t>모델</t>
  </si>
  <si>
    <t>모델펫네임</t>
    <phoneticPr fontId="2" type="noConversion"/>
  </si>
  <si>
    <t>010신규</t>
    <phoneticPr fontId="2" type="noConversion"/>
  </si>
  <si>
    <t>요금제</t>
    <phoneticPr fontId="2" type="noConversion"/>
  </si>
  <si>
    <t>갤럭시 A32</t>
  </si>
  <si>
    <t>NT935XDBN0</t>
  </si>
  <si>
    <t>갤럭시 북 Pro</t>
  </si>
  <si>
    <t>NT755XDAN0</t>
  </si>
  <si>
    <t>갤럭시 북</t>
  </si>
  <si>
    <t>SM-T975N0512</t>
  </si>
  <si>
    <t>갤럭시 탭 S7+ 512GB</t>
  </si>
  <si>
    <t>SM-T505NZAHKTC</t>
  </si>
  <si>
    <t>olleh tv tab</t>
  </si>
  <si>
    <t>BKE-500</t>
  </si>
  <si>
    <t>5G egg</t>
  </si>
  <si>
    <t>월요금(예상)</t>
    <phoneticPr fontId="2" type="noConversion"/>
  </si>
  <si>
    <t>010신규</t>
  </si>
  <si>
    <t>요금할인</t>
    <phoneticPr fontId="2" type="noConversion"/>
  </si>
  <si>
    <t>최종할부금</t>
    <phoneticPr fontId="2" type="noConversion"/>
  </si>
  <si>
    <t>번호이동</t>
    <phoneticPr fontId="2" type="noConversion"/>
  </si>
  <si>
    <t>대상</t>
    <phoneticPr fontId="2" type="noConversion"/>
  </si>
  <si>
    <t>개통즉시</t>
    <phoneticPr fontId="2" type="noConversion"/>
  </si>
  <si>
    <t>개통단말</t>
    <phoneticPr fontId="2" type="noConversion"/>
  </si>
  <si>
    <t>익월23일</t>
    <phoneticPr fontId="2" type="noConversion"/>
  </si>
  <si>
    <t>지급방법</t>
    <phoneticPr fontId="2" type="noConversion"/>
  </si>
  <si>
    <t>지급시기</t>
    <phoneticPr fontId="2" type="noConversion"/>
  </si>
  <si>
    <t>NT345XLAN0</t>
  </si>
  <si>
    <t>갤럭시북 GO</t>
  </si>
  <si>
    <t>5G</t>
    <phoneticPr fontId="2" type="noConversion"/>
  </si>
  <si>
    <t>SM-R895NK</t>
  </si>
  <si>
    <t>갤럭시워치4클래식 46mm</t>
  </si>
  <si>
    <t>SM-R885NK</t>
  </si>
  <si>
    <t>갤럭시워치4클래식 42mm</t>
  </si>
  <si>
    <t>SM-R875NK</t>
  </si>
  <si>
    <t>갤럭시워치4 44mm</t>
  </si>
  <si>
    <t>SM-R865NK</t>
  </si>
  <si>
    <t>갤럭시워치4 40mm</t>
  </si>
  <si>
    <t>모델명</t>
    <phoneticPr fontId="2" type="noConversion"/>
  </si>
  <si>
    <t>개통유형</t>
    <phoneticPr fontId="2" type="noConversion"/>
  </si>
  <si>
    <t>번호이동</t>
  </si>
  <si>
    <t>번호이동</t>
    <phoneticPr fontId="2" type="noConversion"/>
  </si>
  <si>
    <t>모델명&amp;요금제</t>
    <phoneticPr fontId="2" type="noConversion"/>
  </si>
  <si>
    <t>SM-A528NK</t>
  </si>
  <si>
    <t>갤럭시A52S</t>
  </si>
  <si>
    <t>요금할인</t>
    <phoneticPr fontId="2" type="noConversion"/>
  </si>
  <si>
    <t>요금제하향</t>
    <phoneticPr fontId="2" type="noConversion"/>
  </si>
  <si>
    <t>122일 이후</t>
    <phoneticPr fontId="2" type="noConversion"/>
  </si>
  <si>
    <t>단기해지</t>
    <phoneticPr fontId="2" type="noConversion"/>
  </si>
  <si>
    <t>5G 기존 가입자</t>
    <phoneticPr fontId="2" type="noConversion"/>
  </si>
  <si>
    <t>권유자 전달 및 소명 진행</t>
    <phoneticPr fontId="2" type="noConversion"/>
  </si>
  <si>
    <t>고객 VOC</t>
    <phoneticPr fontId="2" type="noConversion"/>
  </si>
  <si>
    <t>차액정산금 미발생되는 최저 요금제 확인 필수</t>
    <phoneticPr fontId="2" type="noConversion"/>
  </si>
  <si>
    <t>180일</t>
    <phoneticPr fontId="2" type="noConversion"/>
  </si>
  <si>
    <t>180일</t>
    <phoneticPr fontId="2" type="noConversion"/>
  </si>
  <si>
    <t>기간 內 지급액 전액 환수, 이후 사내특판 혜택 적용 불가</t>
    <phoneticPr fontId="2" type="noConversion"/>
  </si>
  <si>
    <t>기간 內 사내판매 혜택적용 불가</t>
    <phoneticPr fontId="2" type="noConversion"/>
  </si>
  <si>
    <t>AIP13M-128</t>
  </si>
  <si>
    <t>아이폰13 mini 128GB</t>
  </si>
  <si>
    <t>AIP13M-256</t>
  </si>
  <si>
    <t>아이폰13 mini 256GB</t>
  </si>
  <si>
    <t>AIP13M-512</t>
  </si>
  <si>
    <t>아이폰13 mini 512GB</t>
  </si>
  <si>
    <t>SM-R875NKGOLF</t>
  </si>
  <si>
    <t>갤럭시워치4 44mm 골프</t>
  </si>
  <si>
    <t>SM-R865NKGOLF</t>
  </si>
  <si>
    <t>갤럭시워치4 40mm 골프</t>
  </si>
  <si>
    <t>AW7CN-41ASBPB</t>
  </si>
  <si>
    <t>애플워치S7 나이키 41mm 스타라이트</t>
  </si>
  <si>
    <t>AW7CN-41ASBAB</t>
  </si>
  <si>
    <t>애플워치S7 나이키 41mm 미드나이트</t>
  </si>
  <si>
    <t>AW7CN-45ASBPB</t>
  </si>
  <si>
    <t>애플워치S7 나이키 45mm 스타라이트</t>
  </si>
  <si>
    <t>AW7CN-45ASBAB</t>
  </si>
  <si>
    <t>애플워치S7 나이키 45mm 미드나이트</t>
  </si>
  <si>
    <t>AW7C-41ASBB</t>
  </si>
  <si>
    <t>애플워치S7 41mm 미드나이트</t>
  </si>
  <si>
    <t>AW7C-41ASBW</t>
  </si>
  <si>
    <t>애플워치S7 41mm 스타라이트</t>
  </si>
  <si>
    <t>AW7C-41ASBC</t>
  </si>
  <si>
    <t>애플워치S7 41mm 그린</t>
  </si>
  <si>
    <t>AW7C-41ASBL</t>
  </si>
  <si>
    <t>애플워치S7 41mm 블루</t>
  </si>
  <si>
    <t>AW7C-41ASBR</t>
  </si>
  <si>
    <t>애플워치S7 41mm 레드</t>
  </si>
  <si>
    <t>AW7C-41SMLS</t>
  </si>
  <si>
    <t>애플워치S7 41mm 실버</t>
  </si>
  <si>
    <t>AW7C-41SMLG</t>
  </si>
  <si>
    <t>애플워치S7 41mm 골드</t>
  </si>
  <si>
    <t>AW7C-41SMLP</t>
  </si>
  <si>
    <t>애플워치S7 41mm 그래파이트</t>
  </si>
  <si>
    <t>AW7C-45ASBB</t>
  </si>
  <si>
    <t>애플워치S7 45mm 미드나이트</t>
  </si>
  <si>
    <t>AW7C-45ASBW</t>
  </si>
  <si>
    <t>애플워치S7 45mm 스타라이트</t>
  </si>
  <si>
    <t>AW7C-45ASBC</t>
  </si>
  <si>
    <t>애플워치S7 45mm 그린</t>
  </si>
  <si>
    <t>AW7C-45ASBL</t>
  </si>
  <si>
    <t>애플워치S7 45mm 블루</t>
  </si>
  <si>
    <t>AW7C-45ASBR</t>
  </si>
  <si>
    <t>애플워치S7 45mm 레드</t>
  </si>
  <si>
    <t>AW7C-45SMLS</t>
  </si>
  <si>
    <t>애플워치S7 45mm 실버</t>
  </si>
  <si>
    <t>AW7C-45SMLG</t>
  </si>
  <si>
    <t>애플워치S7 45mm 골드</t>
  </si>
  <si>
    <t>AW7C-45SMLP</t>
  </si>
  <si>
    <t>애플워치S7 45mm 그래파이트</t>
  </si>
  <si>
    <t>IPAD9-64</t>
  </si>
  <si>
    <t>iPad 9세대 64G</t>
  </si>
  <si>
    <t>IPAD9-256</t>
  </si>
  <si>
    <t>iPad 9세대 256G</t>
  </si>
  <si>
    <t>IPADM6-64</t>
  </si>
  <si>
    <t>iPad mini 6세대 64G</t>
  </si>
  <si>
    <t>IPADM6-256</t>
  </si>
  <si>
    <t>iPad mini 6세대 256G</t>
  </si>
  <si>
    <t>Apple</t>
    <phoneticPr fontId="2" type="noConversion"/>
  </si>
  <si>
    <t>제조사</t>
    <phoneticPr fontId="2" type="noConversion"/>
  </si>
  <si>
    <t>NT935QDBN0</t>
  </si>
  <si>
    <t>갤럭시북 Pro 360 5G</t>
  </si>
  <si>
    <t>NT545XLAN0</t>
  </si>
  <si>
    <t>갤럭시북 GO 5G</t>
  </si>
  <si>
    <t>SM-S901NK</t>
  </si>
  <si>
    <t>갤럭시S22</t>
  </si>
  <si>
    <t>SM-S906NK</t>
  </si>
  <si>
    <t>갤럭시S22+</t>
  </si>
  <si>
    <t>SM-S908NK</t>
  </si>
  <si>
    <t>갤럭시S22 울트라(256GB)</t>
  </si>
  <si>
    <t>SM-S908NK512</t>
  </si>
  <si>
    <t>갤럭시S22 울트라(512GB)</t>
  </si>
  <si>
    <t>모델명</t>
  </si>
  <si>
    <t>합계</t>
    <phoneticPr fontId="2" type="noConversion"/>
  </si>
  <si>
    <t>고객선택</t>
    <phoneticPr fontId="2" type="noConversion"/>
  </si>
  <si>
    <t>권유자선택</t>
    <phoneticPr fontId="2" type="noConversion"/>
  </si>
  <si>
    <t>0원</t>
    <phoneticPr fontId="2" type="noConversion"/>
  </si>
  <si>
    <t>5만</t>
    <phoneticPr fontId="2" type="noConversion"/>
  </si>
  <si>
    <t>10만</t>
    <phoneticPr fontId="2" type="noConversion"/>
  </si>
  <si>
    <t>SM-A536NK</t>
  </si>
  <si>
    <t>Galaxy A53 5G</t>
  </si>
  <si>
    <t>NT955XEDN0</t>
  </si>
  <si>
    <t>갤럭시 북2 Pro 5G</t>
  </si>
  <si>
    <t>AIPSE3-64</t>
  </si>
  <si>
    <t>iPhone SE 3세대 64G</t>
  </si>
  <si>
    <t>AIPSE3-128</t>
  </si>
  <si>
    <t>iPhone SE 3세대 128G</t>
  </si>
  <si>
    <t>AIPSE3-256</t>
  </si>
  <si>
    <t>iPhone SE 3세대 256G</t>
  </si>
  <si>
    <t>SM-A235NK</t>
  </si>
  <si>
    <t>갤럭시 A23</t>
  </si>
  <si>
    <t>기기변경</t>
    <phoneticPr fontId="2" type="noConversion"/>
  </si>
  <si>
    <t>SM-M336K</t>
  </si>
  <si>
    <t>Galaxy Jump2</t>
  </si>
  <si>
    <t>IPADA5-64</t>
  </si>
  <si>
    <t>iPad Air 5세대 64GB</t>
  </si>
  <si>
    <t>IPADA5-256</t>
  </si>
  <si>
    <t>iPad Air 5세대 256GB</t>
  </si>
  <si>
    <t xml:space="preserve"> 출고가에서 바로 할인 </t>
    <phoneticPr fontId="2" type="noConversion"/>
  </si>
  <si>
    <t>고객 즉시할인</t>
    <phoneticPr fontId="2" type="noConversion"/>
  </si>
  <si>
    <t>베이직</t>
  </si>
  <si>
    <t>SM-A135NK</t>
  </si>
  <si>
    <t>갤럭시 A13</t>
  </si>
  <si>
    <t>SM-A336NK</t>
  </si>
  <si>
    <t>갤럭시 A33 5G</t>
  </si>
  <si>
    <t>SM-F936NK</t>
  </si>
  <si>
    <t>갤럭시 Z Fold4</t>
  </si>
  <si>
    <t>SM-F936NK512</t>
  </si>
  <si>
    <t>갤럭시 Z Fold4 512GB</t>
  </si>
  <si>
    <t>SM-F721NK</t>
  </si>
  <si>
    <t>갤럭시 Z Flip4</t>
  </si>
  <si>
    <t>SM-F721NK512</t>
  </si>
  <si>
    <t>갤럭시 Z Flip4 512GB</t>
  </si>
  <si>
    <t>SM-R905NK</t>
  </si>
  <si>
    <t>갤럭시 워치5 40</t>
  </si>
  <si>
    <t>SM-R915NK</t>
  </si>
  <si>
    <t>갤럭시 워치5 44</t>
  </si>
  <si>
    <t>SM-R925NK</t>
  </si>
  <si>
    <t>갤럭시 워치5 프로</t>
  </si>
  <si>
    <t>SM-R925NKGOLF</t>
  </si>
  <si>
    <t>갤럭시 워치5 프로 골프</t>
  </si>
  <si>
    <t>기기변경</t>
  </si>
  <si>
    <t>펫네임</t>
  </si>
  <si>
    <t>기기변경</t>
    <phoneticPr fontId="2" type="noConversion"/>
  </si>
  <si>
    <t>삼성</t>
  </si>
  <si>
    <t>AIP14-128</t>
  </si>
  <si>
    <t>AIP14-256</t>
  </si>
  <si>
    <t>AIP14-512</t>
  </si>
  <si>
    <t>AIP14PS-128</t>
  </si>
  <si>
    <t>AIP14PS-256</t>
  </si>
  <si>
    <t>AIP14PS-512</t>
  </si>
  <si>
    <t>AIP14P-128</t>
  </si>
  <si>
    <t>AIP14P-256</t>
  </si>
  <si>
    <t>AIP14P-512</t>
  </si>
  <si>
    <t>AIP14P-1T</t>
  </si>
  <si>
    <t>AIP14PM-128</t>
  </si>
  <si>
    <t>AIP14PM-256</t>
  </si>
  <si>
    <t>AIP14PM-512</t>
  </si>
  <si>
    <t>AIP14PM-1T</t>
  </si>
  <si>
    <t>iPhone 14 128G</t>
  </si>
  <si>
    <t>iPhone 14 256G</t>
  </si>
  <si>
    <t>iPhone 14 512G</t>
  </si>
  <si>
    <t>iPhone 14 Plus 128G</t>
  </si>
  <si>
    <t>iPhone 14 Plus 256G</t>
  </si>
  <si>
    <t>iPhone 14 Plus 512G</t>
  </si>
  <si>
    <t>iPhone 14 Pro 128G</t>
  </si>
  <si>
    <t>iPhone 14 Pro 256G</t>
  </si>
  <si>
    <t>iPhone 14 Pro 512G</t>
  </si>
  <si>
    <t>iPhone 14 Pro 1T</t>
  </si>
  <si>
    <t>iPhone 14 Pro Max 128G</t>
  </si>
  <si>
    <t>iPhone 14 Pro Max 256G</t>
  </si>
  <si>
    <t>iPhone 14 Pro Max 512G</t>
  </si>
  <si>
    <t>iPhone 14 Pro Max 1T</t>
  </si>
  <si>
    <t>AWSE2C-40ASBST</t>
  </si>
  <si>
    <t>Apple Watch SE 40mm 스타라이트 알류미늄</t>
  </si>
  <si>
    <t>AWSE2C-40ASBM</t>
  </si>
  <si>
    <t>Apple Watch SE 40mm 미드나이트 알류미늄</t>
  </si>
  <si>
    <t>AWSE2C-40ASBW</t>
  </si>
  <si>
    <t>Apple Watch SE 40mm 실버 알류미늄</t>
  </si>
  <si>
    <t>AWSE2C-44ASBST</t>
  </si>
  <si>
    <t>Apple Watch SE 44mm 스타라이트 알류미늄</t>
  </si>
  <si>
    <t>AWSE2C-44ASBM</t>
  </si>
  <si>
    <t>Apple Watch SE 44mm 미드나이트 알류미늄</t>
  </si>
  <si>
    <t>AWSE2C-44ASBW</t>
  </si>
  <si>
    <t>Apple Watch SE 44mm 실버 알류미늄</t>
  </si>
  <si>
    <t>AW8C-41ASBM</t>
  </si>
  <si>
    <t>Apple Watch Series 8 41mm 미드나이트 알류미늄</t>
  </si>
  <si>
    <t>AW8C-41ASBST</t>
  </si>
  <si>
    <t>Apple Watch Series 8 41mm 스타라이트 알류미늄</t>
  </si>
  <si>
    <t>AW8C-41ASBR</t>
  </si>
  <si>
    <t>Apple Watch Series 8 41mm 레드 알류미늄</t>
  </si>
  <si>
    <t>AW8C-41ASBW</t>
  </si>
  <si>
    <t>Apple Watch Series 8 41mm 실버 알류미늄</t>
  </si>
  <si>
    <t>AW8C-41SMLS</t>
  </si>
  <si>
    <t>Apple Watch Series 8 41mm 실버 스테인리스 스틸</t>
  </si>
  <si>
    <t>AW8C-41SMLG</t>
  </si>
  <si>
    <t>Apple Watch Series 8 41mm 골드 스테인리스 스틸</t>
  </si>
  <si>
    <t>AW8C-41SMLP</t>
  </si>
  <si>
    <t>Apple Watch Series 8 41mm 그래파이트 스테인리스 스틸</t>
  </si>
  <si>
    <t>AW8C-45ASBM</t>
  </si>
  <si>
    <t>Apple Watch Series 8 45mm 미드나이트 알류미늄</t>
  </si>
  <si>
    <t>AW8C-45ASBST</t>
  </si>
  <si>
    <t>Apple Watch Series 8 45mm 스타라이트 알류미늄</t>
  </si>
  <si>
    <t>AW8C-45ASBR</t>
  </si>
  <si>
    <t>Apple Watch Series 8 45mm 레드 알류미늄</t>
  </si>
  <si>
    <t>AW8C-45ASBW</t>
  </si>
  <si>
    <t>Apple Watch Series 8 45mm 실버 알류미늄</t>
  </si>
  <si>
    <t>AW8C-45SMLS</t>
  </si>
  <si>
    <t>Apple Watch Series 8 45mm 실버 스테인리스 스틸</t>
  </si>
  <si>
    <t>AW8C-45SMLG</t>
  </si>
  <si>
    <t>Apple Watch Series 8 45mm 골드 스테인리스 스틸</t>
  </si>
  <si>
    <t>AW8C-45SMLP</t>
  </si>
  <si>
    <t>Apple Watch Series 8 45mm 그래파이트 스테인리스 스틸</t>
  </si>
  <si>
    <t>AWUC-49TLB</t>
  </si>
  <si>
    <t>iPad 10세대 64G</t>
  </si>
  <si>
    <t>iPad 10세대 256G</t>
  </si>
  <si>
    <t>iPad Pro 11" 4세대 128G</t>
  </si>
  <si>
    <t>iPad Pro 11" 4세대 256G</t>
  </si>
  <si>
    <t>iPad Pro 11" 4세대 512G</t>
  </si>
  <si>
    <t>iPad Pro 11" 4세대 1T</t>
  </si>
  <si>
    <t>iPad Pro 11" 4세대 2T</t>
  </si>
  <si>
    <t>iPad Pro 12.9" 6세대 128G</t>
  </si>
  <si>
    <t>iPad Pro 12.9" 6세대 256G</t>
  </si>
  <si>
    <t>iPad Pro 12.9" 6세대 512G</t>
  </si>
  <si>
    <t>iPad Pro 12.9" 6세대 1T</t>
  </si>
  <si>
    <t>iPad Pro 12.9" 6세대 2T</t>
  </si>
  <si>
    <t>AT-M120K</t>
  </si>
  <si>
    <t>Apple Watch Ultra 49mm 블랙 티타늄</t>
  </si>
  <si>
    <t>AWUC-49TOB</t>
  </si>
  <si>
    <t>Apple Watch Ultra 49mm 미드나이트 티타늄</t>
  </si>
  <si>
    <t>MKL-E2000</t>
  </si>
  <si>
    <t>Slim egg 3</t>
  </si>
  <si>
    <t>MKL-U1000</t>
  </si>
  <si>
    <t>USB egg</t>
  </si>
  <si>
    <t>SM-G525NK-KP3</t>
  </si>
  <si>
    <t>신비키즈폰3</t>
  </si>
  <si>
    <t>SM-X205N023</t>
  </si>
  <si>
    <t>갤럭시 탭 A8 2023</t>
  </si>
  <si>
    <t>SM-T225N023</t>
  </si>
  <si>
    <t>갤럭시 탭 A7 Lite 64GB 2023</t>
  </si>
  <si>
    <t>SM-S911NK512</t>
  </si>
  <si>
    <t>갤럭시S23 (512GB)</t>
  </si>
  <si>
    <t>SM-S916NK512</t>
  </si>
  <si>
    <t>갤럭시S23+ (512GB)</t>
  </si>
  <si>
    <t>SM-S918NK512</t>
  </si>
  <si>
    <t>갤럭시S23 울트라 (512GB)</t>
  </si>
  <si>
    <t>애플</t>
  </si>
  <si>
    <t>제조사</t>
    <phoneticPr fontId="2" type="noConversion"/>
  </si>
  <si>
    <t>5G모델</t>
    <phoneticPr fontId="2" type="noConversion"/>
  </si>
  <si>
    <t>펫네임</t>
    <phoneticPr fontId="2" type="noConversion"/>
  </si>
  <si>
    <t>출고가</t>
    <phoneticPr fontId="2" type="noConversion"/>
  </si>
  <si>
    <t>제조사</t>
    <phoneticPr fontId="2" type="noConversion"/>
  </si>
  <si>
    <t>LTE모델</t>
    <phoneticPr fontId="2" type="noConversion"/>
  </si>
  <si>
    <t>출고가</t>
    <phoneticPr fontId="2" type="noConversion"/>
  </si>
  <si>
    <t>출고가</t>
  </si>
  <si>
    <t>■ 5G 패드 공시 지원금</t>
    <phoneticPr fontId="2" type="noConversion"/>
  </si>
  <si>
    <t>제조사</t>
    <phoneticPr fontId="2" type="noConversion"/>
  </si>
  <si>
    <t>모델명</t>
    <phoneticPr fontId="2" type="noConversion"/>
  </si>
  <si>
    <t>펫네임</t>
    <phoneticPr fontId="2" type="noConversion"/>
  </si>
  <si>
    <t>IPAD10-64</t>
  </si>
  <si>
    <t>IPAD10-256</t>
  </si>
  <si>
    <t>IPADP4_11-128</t>
  </si>
  <si>
    <t>IPADP4_11-256</t>
  </si>
  <si>
    <t>IPADP4_11-512</t>
  </si>
  <si>
    <t>IPADP4_11-1T</t>
  </si>
  <si>
    <t>IPADP4_11-2T</t>
  </si>
  <si>
    <t>IPADP6_129-128</t>
  </si>
  <si>
    <t>IPADP6_129-256</t>
  </si>
  <si>
    <t>IPADP6_129-512</t>
  </si>
  <si>
    <t>IPADP6_129-1T</t>
  </si>
  <si>
    <t>IPADP6_129-2T</t>
  </si>
  <si>
    <t>■ 패드 공시 지원금</t>
    <phoneticPr fontId="2" type="noConversion"/>
  </si>
  <si>
    <t>출고가</t>
    <phoneticPr fontId="2" type="noConversion"/>
  </si>
  <si>
    <t>SM-X205N0</t>
  </si>
  <si>
    <t>Galaxy Tab A8</t>
  </si>
  <si>
    <t>■ 기타 공시 지원금</t>
    <phoneticPr fontId="2" type="noConversion"/>
  </si>
  <si>
    <t>모델명</t>
    <phoneticPr fontId="2" type="noConversion"/>
  </si>
  <si>
    <t>펫네임</t>
    <phoneticPr fontId="2" type="noConversion"/>
  </si>
  <si>
    <t>인포마크</t>
  </si>
  <si>
    <t>넥스프링</t>
  </si>
  <si>
    <t>LTE egg mini</t>
  </si>
  <si>
    <t>■ 5G Egg 공시 지원금</t>
    <phoneticPr fontId="2" type="noConversion"/>
  </si>
  <si>
    <t>벨킨</t>
    <phoneticPr fontId="2" type="noConversion"/>
  </si>
  <si>
    <t>심플</t>
  </si>
  <si>
    <t>슬림</t>
  </si>
  <si>
    <t>베이직</t>
    <phoneticPr fontId="2" type="noConversion"/>
  </si>
  <si>
    <t>0원</t>
  </si>
  <si>
    <t>AIP14-128</t>
    <phoneticPr fontId="2" type="noConversion"/>
  </si>
  <si>
    <t>AIP14-256</t>
    <phoneticPr fontId="2" type="noConversion"/>
  </si>
  <si>
    <t>AIP14-512</t>
    <phoneticPr fontId="2" type="noConversion"/>
  </si>
  <si>
    <t>AIP14PS-128</t>
    <phoneticPr fontId="2" type="noConversion"/>
  </si>
  <si>
    <t>AIP14PS-256</t>
    <phoneticPr fontId="2" type="noConversion"/>
  </si>
  <si>
    <t>AIP14PS-512</t>
    <phoneticPr fontId="2" type="noConversion"/>
  </si>
  <si>
    <t>AIP14P-128</t>
    <phoneticPr fontId="2" type="noConversion"/>
  </si>
  <si>
    <t>AIP14P-512</t>
    <phoneticPr fontId="2" type="noConversion"/>
  </si>
  <si>
    <t>AIP14PM-128</t>
    <phoneticPr fontId="2" type="noConversion"/>
  </si>
  <si>
    <t>AIP14P-256</t>
    <phoneticPr fontId="2" type="noConversion"/>
  </si>
  <si>
    <t>AIP14PM-256</t>
    <phoneticPr fontId="2" type="noConversion"/>
  </si>
  <si>
    <t>AIP14PM-512</t>
    <phoneticPr fontId="2" type="noConversion"/>
  </si>
  <si>
    <t>SM-S911NK</t>
  </si>
  <si>
    <t>세이브</t>
  </si>
  <si>
    <t>슬림플러스</t>
  </si>
  <si>
    <t>SM-S916NK</t>
  </si>
  <si>
    <t>SM-S918NK</t>
  </si>
  <si>
    <t>할인유형</t>
    <phoneticPr fontId="2" type="noConversion"/>
  </si>
  <si>
    <t>내용</t>
    <phoneticPr fontId="2" type="noConversion"/>
  </si>
  <si>
    <t>내용</t>
    <phoneticPr fontId="2" type="noConversion"/>
  </si>
  <si>
    <t>복리포인트/현금</t>
    <phoneticPr fontId="2" type="noConversion"/>
  </si>
  <si>
    <t>■ 지급</t>
    <phoneticPr fontId="2" type="noConversion"/>
  </si>
  <si>
    <t>■ 유의사항</t>
    <phoneticPr fontId="2" type="noConversion"/>
  </si>
  <si>
    <t>사이트:</t>
    <phoneticPr fontId="2" type="noConversion"/>
  </si>
  <si>
    <t>요금제명</t>
    <phoneticPr fontId="2" type="noConversion"/>
  </si>
  <si>
    <t>요금제ID</t>
    <phoneticPr fontId="11" type="noConversion"/>
  </si>
  <si>
    <t>요금제명</t>
    <phoneticPr fontId="11" type="noConversion"/>
  </si>
  <si>
    <t>PL2093132</t>
  </si>
  <si>
    <t>5GINTMPP2</t>
  </si>
  <si>
    <t>5GINTMPP2</t>
    <phoneticPr fontId="2" type="noConversion"/>
  </si>
  <si>
    <t>5GINTMPP3</t>
    <phoneticPr fontId="2" type="noConversion"/>
  </si>
  <si>
    <t>스페셜</t>
  </si>
  <si>
    <t>5GINTMPP4</t>
    <phoneticPr fontId="2" type="noConversion"/>
  </si>
  <si>
    <t>넷플릭스 초이스 스페셜</t>
  </si>
  <si>
    <t>PL208A884</t>
  </si>
  <si>
    <t>5G 슬림(군인)</t>
  </si>
  <si>
    <t>PL21CL673</t>
  </si>
  <si>
    <t>PL21CL673</t>
    <phoneticPr fontId="2" type="noConversion"/>
  </si>
  <si>
    <t>5G Y 스페셜</t>
    <phoneticPr fontId="2" type="noConversion"/>
  </si>
  <si>
    <t>PL19CB587</t>
  </si>
  <si>
    <t>넷플릭스 초이스 프리미엄</t>
  </si>
  <si>
    <t>PL208A888</t>
  </si>
  <si>
    <t>5GINTMPP3</t>
  </si>
  <si>
    <t>5G 심플</t>
  </si>
  <si>
    <t>5GINTMPP7</t>
  </si>
  <si>
    <t>PL19CB587</t>
    <phoneticPr fontId="2" type="noConversion"/>
  </si>
  <si>
    <t>현대카드 초이스 스페셜</t>
  </si>
  <si>
    <t>PL2146251</t>
    <phoneticPr fontId="2" type="noConversion"/>
  </si>
  <si>
    <t>5GINTMPP4</t>
  </si>
  <si>
    <t>5G Y 베이직</t>
    <phoneticPr fontId="2" type="noConversion"/>
  </si>
  <si>
    <t>PL19CB588</t>
  </si>
  <si>
    <t>현대카드 초이스 프리미엄</t>
  </si>
  <si>
    <t>PL2146252</t>
    <phoneticPr fontId="2" type="noConversion"/>
  </si>
  <si>
    <t>넷플릭스 초이스 베이직</t>
  </si>
  <si>
    <t>PL208A889</t>
  </si>
  <si>
    <t>디즈니+ 초이스 프리미엄</t>
  </si>
  <si>
    <t>PL218N859</t>
    <phoneticPr fontId="2" type="noConversion"/>
  </si>
  <si>
    <t>5G Y틴</t>
  </si>
  <si>
    <t>5GINTMPP8</t>
  </si>
  <si>
    <t>현대카드 초이스 베이직</t>
  </si>
  <si>
    <t>PL2146250</t>
    <phoneticPr fontId="2" type="noConversion"/>
  </si>
  <si>
    <t>디즈니+ 초이스 스페셜</t>
  </si>
  <si>
    <t>PL218N866</t>
    <phoneticPr fontId="2" type="noConversion"/>
  </si>
  <si>
    <t>삼성 초이스 프리미엄</t>
  </si>
  <si>
    <t>PL21C9618</t>
    <phoneticPr fontId="2" type="noConversion"/>
  </si>
  <si>
    <t>5G 베이직 복지</t>
  </si>
  <si>
    <t>PL2128869</t>
    <phoneticPr fontId="2" type="noConversion"/>
  </si>
  <si>
    <t>삼성 초이스 스페셜</t>
  </si>
  <si>
    <t>PL21C9617</t>
    <phoneticPr fontId="2" type="noConversion"/>
  </si>
  <si>
    <t>5G Y슬림</t>
  </si>
  <si>
    <t>PL19CB590</t>
  </si>
  <si>
    <t>우리카드 초이스 프리미엄</t>
  </si>
  <si>
    <t>PL21CM713</t>
  </si>
  <si>
    <t>5G Y슬림(군인)</t>
  </si>
  <si>
    <t>PL21CL661</t>
  </si>
  <si>
    <t>PL21CL661</t>
    <phoneticPr fontId="2" type="noConversion"/>
  </si>
  <si>
    <t>우리카드 초이스 스페셜</t>
  </si>
  <si>
    <t>PL21CM720</t>
  </si>
  <si>
    <t>디즈니+ 초이스 베이직</t>
  </si>
  <si>
    <t>PL218N869</t>
    <phoneticPr fontId="2" type="noConversion"/>
  </si>
  <si>
    <t>(유튜브 프리미엄) 초이스 프리미엄</t>
  </si>
  <si>
    <t>(유튜브 프리미엄) 초이스 스페셜</t>
  </si>
  <si>
    <t>5G 심플 복지</t>
  </si>
  <si>
    <t>PL2154385</t>
  </si>
  <si>
    <t>디바이스 초이스 프리미엄</t>
  </si>
  <si>
    <t>PL221A793</t>
  </si>
  <si>
    <t>5G 슬림 복지</t>
  </si>
  <si>
    <t>PL2128868</t>
    <phoneticPr fontId="2" type="noConversion"/>
  </si>
  <si>
    <t>삼성 초이스 베이직</t>
  </si>
  <si>
    <t>PL21C9619</t>
    <phoneticPr fontId="2" type="noConversion"/>
  </si>
  <si>
    <t>디바이스 초이스 스페셜</t>
  </si>
  <si>
    <t>PL221A794</t>
  </si>
  <si>
    <t>5G 세이브(군인)</t>
  </si>
  <si>
    <t>PL21CL674</t>
  </si>
  <si>
    <t>5G 슬림 복지(군인)</t>
  </si>
  <si>
    <t>티빙/지니 초이스 프리미엄</t>
  </si>
  <si>
    <t>PL225O787</t>
  </si>
  <si>
    <t>PL2128868</t>
  </si>
  <si>
    <t>티빙/지니 초이스 스폐셜</t>
  </si>
  <si>
    <t>PL225O788</t>
  </si>
  <si>
    <t>PL21CL671</t>
  </si>
  <si>
    <t>우리카드 초이스 베이직</t>
  </si>
  <si>
    <t>PL21CM718</t>
  </si>
  <si>
    <t>BC바로 카드 초이스 프리미엄</t>
  </si>
  <si>
    <t>PL225O770</t>
  </si>
  <si>
    <t>PL2128869</t>
  </si>
  <si>
    <t>BC바로 카드 초이스 스페셜</t>
  </si>
  <si>
    <t>PL225O772</t>
  </si>
  <si>
    <t>PL2146250</t>
  </si>
  <si>
    <t>코웨이 초이스 프리미엄</t>
  </si>
  <si>
    <t>PL2193924</t>
  </si>
  <si>
    <t>PL2146251</t>
  </si>
  <si>
    <t>(유튜브 프리미엄) 초이스 베이직</t>
  </si>
  <si>
    <t>코웨이 초이스 스페셜</t>
  </si>
  <si>
    <t>PL2193928</t>
  </si>
  <si>
    <t>PL2146252</t>
  </si>
  <si>
    <t>PL218N859</t>
  </si>
  <si>
    <t>디바이스 초이스 베이직</t>
  </si>
  <si>
    <t>PL221A795</t>
  </si>
  <si>
    <t>PL218N866</t>
  </si>
  <si>
    <t>티빙/지니 초이스 프리미엄</t>
    <phoneticPr fontId="2" type="noConversion"/>
  </si>
  <si>
    <t>PL218N869</t>
  </si>
  <si>
    <t>티빙/지니 초이스 스폐셜</t>
    <phoneticPr fontId="2" type="noConversion"/>
  </si>
  <si>
    <t>PL21C9618</t>
  </si>
  <si>
    <t>티빙/지니 초이스 베이직</t>
    <phoneticPr fontId="2" type="noConversion"/>
  </si>
  <si>
    <t>PL225O789</t>
  </si>
  <si>
    <t>PL21C9617</t>
  </si>
  <si>
    <t>PL21C9619</t>
  </si>
  <si>
    <t>BC바로 카드 초이스 베이직</t>
  </si>
  <si>
    <t>PL225O773</t>
  </si>
  <si>
    <t>코웨이 초이스 베이직</t>
  </si>
  <si>
    <t>PL2193929</t>
  </si>
  <si>
    <t>데이터ON 프리미엄</t>
  </si>
  <si>
    <t>PL225V838</t>
  </si>
  <si>
    <t>5G 주니어</t>
  </si>
  <si>
    <t>PL21BT585</t>
    <phoneticPr fontId="2" type="noConversion"/>
  </si>
  <si>
    <t>PL21BT585</t>
  </si>
  <si>
    <t>5G 주니어 슬림</t>
  </si>
  <si>
    <t>PL21BT586</t>
  </si>
  <si>
    <t>데이터ON 톡</t>
  </si>
  <si>
    <t>AIP11-128_2022</t>
  </si>
  <si>
    <t>iPhone 11 128GB (2022)</t>
  </si>
  <si>
    <t>ALT</t>
  </si>
  <si>
    <t>스타일 폴더(화이트)</t>
  </si>
  <si>
    <t>스타일 폴더(블랙)</t>
  </si>
  <si>
    <t>모델</t>
    <phoneticPr fontId="2" type="noConversion"/>
  </si>
  <si>
    <t>요금제</t>
    <phoneticPr fontId="2" type="noConversion"/>
  </si>
  <si>
    <t>갤럭시
S23</t>
    <phoneticPr fontId="2" type="noConversion"/>
  </si>
  <si>
    <t>아이폰
14</t>
    <phoneticPr fontId="2" type="noConversion"/>
  </si>
  <si>
    <t>비고</t>
    <phoneticPr fontId="2" type="noConversion"/>
  </si>
  <si>
    <t>* 기타모델은 재고 문의 후 접수 필요</t>
    <phoneticPr fontId="2" type="noConversion"/>
  </si>
  <si>
    <r>
      <rPr>
        <b/>
        <sz val="11"/>
        <color theme="1"/>
        <rFont val="KT서체 Light"/>
        <family val="3"/>
        <charset val="129"/>
      </rPr>
      <t>요금할인만 운영</t>
    </r>
    <r>
      <rPr>
        <sz val="11"/>
        <color theme="1"/>
        <rFont val="KT서체 Light"/>
        <family val="3"/>
        <charset val="129"/>
      </rPr>
      <t xml:space="preserve">
권유자 혜택
(Max 15만원)_정책 內</t>
    </r>
    <phoneticPr fontId="2" type="noConversion"/>
  </si>
  <si>
    <t>* 동일 제조사에 한해 정책 지원</t>
    <phoneticPr fontId="2" type="noConversion"/>
  </si>
  <si>
    <t xml:space="preserve"> 0~15만/건</t>
    <phoneticPr fontId="2" type="noConversion"/>
  </si>
  <si>
    <t>유형</t>
    <phoneticPr fontId="2" type="noConversion"/>
  </si>
  <si>
    <t>요금제</t>
    <phoneticPr fontId="2" type="noConversion"/>
  </si>
  <si>
    <t>모델</t>
    <phoneticPr fontId="2" type="noConversion"/>
  </si>
  <si>
    <t>혜택</t>
    <phoneticPr fontId="2" type="noConversion"/>
  </si>
  <si>
    <t>전유형</t>
    <phoneticPr fontId="2" type="noConversion"/>
  </si>
  <si>
    <t>베이직</t>
    <phoneticPr fontId="2" type="noConversion"/>
  </si>
  <si>
    <t>갤럭시 폴더블4</t>
    <phoneticPr fontId="2" type="noConversion"/>
  </si>
  <si>
    <t>비고</t>
    <phoneticPr fontId="2" type="noConversion"/>
  </si>
  <si>
    <t>최대 62만원</t>
    <phoneticPr fontId="2" type="noConversion"/>
  </si>
  <si>
    <t>갤럴시 S22(화이트)</t>
    <phoneticPr fontId="2" type="noConversion"/>
  </si>
  <si>
    <t>10대 한정</t>
    <phoneticPr fontId="2" type="noConversion"/>
  </si>
  <si>
    <t>플립4/폴더4</t>
    <phoneticPr fontId="2" type="noConversion"/>
  </si>
  <si>
    <t>전유형</t>
    <phoneticPr fontId="2" type="noConversion"/>
  </si>
  <si>
    <t>슬림이상</t>
    <phoneticPr fontId="2" type="noConversion"/>
  </si>
  <si>
    <t>갤럭시 A33</t>
    <phoneticPr fontId="2" type="noConversion"/>
  </si>
  <si>
    <t>최소 50만원</t>
    <phoneticPr fontId="2" type="noConversion"/>
  </si>
  <si>
    <t>슬림이상 단말 "0원"</t>
    <phoneticPr fontId="2" type="noConversion"/>
  </si>
  <si>
    <t>세이브이상</t>
    <phoneticPr fontId="2" type="noConversion"/>
  </si>
  <si>
    <t>갤럭시 점프2</t>
    <phoneticPr fontId="2" type="noConversion"/>
  </si>
  <si>
    <t>최소 40만원</t>
    <phoneticPr fontId="2" type="noConversion"/>
  </si>
  <si>
    <t>전요금 단말 "0원"</t>
    <phoneticPr fontId="2" type="noConversion"/>
  </si>
  <si>
    <t>슬림플러스이상</t>
    <phoneticPr fontId="2" type="noConversion"/>
  </si>
  <si>
    <t>아이폰SE3_128G</t>
    <phoneticPr fontId="2" type="noConversion"/>
  </si>
  <si>
    <t>슬림P이상 단말 "0원"</t>
    <phoneticPr fontId="2" type="noConversion"/>
  </si>
  <si>
    <t>SM-A346NK</t>
    <phoneticPr fontId="2" type="noConversion"/>
  </si>
  <si>
    <t>MI-RMN12K</t>
  </si>
  <si>
    <t>SM-M336K_MOM</t>
  </si>
  <si>
    <t>갤럭시 A34 5G</t>
    <phoneticPr fontId="2" type="noConversion"/>
  </si>
  <si>
    <t>데이터ON 프리미엄</t>
    <phoneticPr fontId="2" type="noConversion"/>
  </si>
  <si>
    <t>LTE베이직</t>
  </si>
  <si>
    <t>아이폰
SE3</t>
    <phoneticPr fontId="2" type="noConversion"/>
  </si>
  <si>
    <t>SM-A245NK</t>
    <phoneticPr fontId="2" type="noConversion"/>
  </si>
  <si>
    <t>SM-A245NK</t>
    <phoneticPr fontId="2" type="noConversion"/>
  </si>
  <si>
    <t>갤럭시 A24</t>
    <phoneticPr fontId="2" type="noConversion"/>
  </si>
  <si>
    <t>PL21CL671</t>
    <phoneticPr fontId="2" type="noConversion"/>
  </si>
  <si>
    <t>티빙/밀리 초이스 프리미엄</t>
  </si>
  <si>
    <t>PL22BO519</t>
  </si>
  <si>
    <t>티빙/밀리 초이스 스페셜</t>
  </si>
  <si>
    <t>PL22BO525</t>
  </si>
  <si>
    <t>티빙/밀리 초이스 베이직</t>
  </si>
  <si>
    <t>PL22BO527</t>
  </si>
  <si>
    <t>5G 시니어 베이직</t>
  </si>
  <si>
    <t>PL22CQ769</t>
  </si>
  <si>
    <t>5G 시니어 A형</t>
  </si>
  <si>
    <t>PL232R326</t>
  </si>
  <si>
    <t>5G 시니어 B형</t>
  </si>
  <si>
    <t>PL232R325</t>
  </si>
  <si>
    <t>5G 시니어 C형</t>
  </si>
  <si>
    <t>PL233T547</t>
  </si>
  <si>
    <t>SM-F731NK</t>
  </si>
  <si>
    <t>갤럭시 Z Flip5</t>
  </si>
  <si>
    <t>SM-F731NK512</t>
  </si>
  <si>
    <t>SM-F946NK</t>
  </si>
  <si>
    <t>SM-F946NK512</t>
  </si>
  <si>
    <t>갤럭시 Z Fold5</t>
  </si>
  <si>
    <t>갤럭시 Z Fold5 512GB</t>
  </si>
  <si>
    <t>15만</t>
    <phoneticPr fontId="2" type="noConversion"/>
  </si>
  <si>
    <t>AIP15-128</t>
  </si>
  <si>
    <t>iPhone 15 128G</t>
  </si>
  <si>
    <t>AIP15-256</t>
  </si>
  <si>
    <t>iPhone 15 256G</t>
  </si>
  <si>
    <t>AIP15-512</t>
  </si>
  <si>
    <t>iPhone 15 512G</t>
  </si>
  <si>
    <t>AIP15PS-128</t>
  </si>
  <si>
    <t>iPhone 15 Plus 128G</t>
  </si>
  <si>
    <t>AIP15PS-256</t>
  </si>
  <si>
    <t>iPhone 15 Plus 256G</t>
  </si>
  <si>
    <t>AIP15PS-512</t>
  </si>
  <si>
    <t>iPhone 15 Plus 512G</t>
  </si>
  <si>
    <t>AIP15P-128</t>
  </si>
  <si>
    <t>iPhone 15 Pro 128G</t>
  </si>
  <si>
    <t>AIP15P-256</t>
  </si>
  <si>
    <t>iPhone 15 Pro 256G</t>
  </si>
  <si>
    <t>AIP15P-512</t>
  </si>
  <si>
    <t>iPhone 15 Pro 512G</t>
  </si>
  <si>
    <t>AIP15P-1T</t>
  </si>
  <si>
    <t>iPhone 15 Pro 1T</t>
  </si>
  <si>
    <t>AIP15PM-128</t>
  </si>
  <si>
    <t>iPhone 15 Pro Max 128G</t>
  </si>
  <si>
    <t>AIP15PM-256</t>
  </si>
  <si>
    <t>iPhone 15 Pro Max 256G</t>
  </si>
  <si>
    <t>AIP15PM-512</t>
  </si>
  <si>
    <t>iPhone 15 Pro Max 512G</t>
  </si>
  <si>
    <t>애플</t>
    <phoneticPr fontId="2" type="noConversion"/>
  </si>
  <si>
    <t>애플</t>
    <phoneticPr fontId="2" type="noConversion"/>
  </si>
  <si>
    <t>애플</t>
    <phoneticPr fontId="2" type="noConversion"/>
  </si>
  <si>
    <t>애플</t>
    <phoneticPr fontId="2" type="noConversion"/>
  </si>
  <si>
    <t>애플</t>
    <phoneticPr fontId="2" type="noConversion"/>
  </si>
  <si>
    <t>애플</t>
    <phoneticPr fontId="2" type="noConversion"/>
  </si>
  <si>
    <t>iPhone SE 3세대 256G</t>
    <phoneticPr fontId="2" type="noConversion"/>
  </si>
  <si>
    <t>AIPSE3-Y2K</t>
  </si>
  <si>
    <t>iPhone SE3 Y2K팩</t>
  </si>
  <si>
    <t>삼성</t>
    <phoneticPr fontId="2" type="noConversion"/>
  </si>
  <si>
    <t>갤럭시S23 (256GB)</t>
  </si>
  <si>
    <t>갤럭시S23+ (256GB)</t>
  </si>
  <si>
    <t>삼성</t>
    <phoneticPr fontId="2" type="noConversion"/>
  </si>
  <si>
    <t>갤럭시S23 울트라 (256GB)</t>
  </si>
  <si>
    <t>삼성</t>
    <phoneticPr fontId="2" type="noConversion"/>
  </si>
  <si>
    <t>삼성</t>
    <phoneticPr fontId="2" type="noConversion"/>
  </si>
  <si>
    <t>삼성</t>
    <phoneticPr fontId="2" type="noConversion"/>
  </si>
  <si>
    <t>삼성</t>
    <phoneticPr fontId="2" type="noConversion"/>
  </si>
  <si>
    <t>SM-F731NK</t>
    <phoneticPr fontId="2" type="noConversion"/>
  </si>
  <si>
    <t>갤럭시 Z Flip5</t>
    <phoneticPr fontId="2" type="noConversion"/>
  </si>
  <si>
    <t>SM-F946NK</t>
    <phoneticPr fontId="2" type="noConversion"/>
  </si>
  <si>
    <t>갤럭시 Z Fold5</t>
    <phoneticPr fontId="2" type="noConversion"/>
  </si>
  <si>
    <t>갤럭시 Z Flip5 512GB</t>
    <phoneticPr fontId="2" type="noConversion"/>
  </si>
  <si>
    <t>삼성</t>
    <phoneticPr fontId="2" type="noConversion"/>
  </si>
  <si>
    <t>삼성</t>
    <phoneticPr fontId="2" type="noConversion"/>
  </si>
  <si>
    <t>SM-A346NK</t>
  </si>
  <si>
    <t>갤럭시 A34(5G)</t>
  </si>
  <si>
    <t>맘편안폰2</t>
  </si>
  <si>
    <t>샤오미</t>
    <phoneticPr fontId="2" type="noConversion"/>
  </si>
  <si>
    <t>MI-RMN12P5GK</t>
  </si>
  <si>
    <t>샤오미 레드미 노트 12 Pro Plus 5G</t>
  </si>
  <si>
    <t>SM-A245NK</t>
  </si>
  <si>
    <t>갤럭시 A24</t>
  </si>
  <si>
    <t>샤오미</t>
  </si>
  <si>
    <t>레드미 노트 12</t>
  </si>
  <si>
    <t>SM-R935NK</t>
  </si>
  <si>
    <t>갤럭시 워치6 40mm</t>
  </si>
  <si>
    <t>SM-R945NK</t>
  </si>
  <si>
    <t>갤럭시 워치6 44mm</t>
  </si>
  <si>
    <t>SM-R955NK</t>
  </si>
  <si>
    <t>갤럭시 워치6 클래식 43mm</t>
  </si>
  <si>
    <t>SM-R965NK</t>
  </si>
  <si>
    <t>갤럭시 워치6 클래식 47mm</t>
  </si>
  <si>
    <t>SM-X716N0</t>
  </si>
  <si>
    <t>Galaxy Tab S9</t>
  </si>
  <si>
    <t>SM-X816N0</t>
  </si>
  <si>
    <t>Galaxy Tab S9 Plus</t>
  </si>
  <si>
    <t>SM-X916N0</t>
  </si>
  <si>
    <t>Galaxy Tab S9 Ultra 256G</t>
  </si>
  <si>
    <t>SM-X916N0512</t>
  </si>
  <si>
    <t>Galaxy Tab S9 Ultra 512G</t>
  </si>
  <si>
    <t>IPADA5-64_New</t>
  </si>
  <si>
    <t>iPad Air 5 64GB_New</t>
  </si>
  <si>
    <t>IPADA5-256_New</t>
  </si>
  <si>
    <t>iPad Air 5 256GB_New</t>
  </si>
  <si>
    <t>IPADM6-64_New</t>
  </si>
  <si>
    <t>iPad Mini 6 64GB_New</t>
  </si>
  <si>
    <t>IPADM6-256_New</t>
  </si>
  <si>
    <t>iPad Mini 6 256GB_New</t>
  </si>
  <si>
    <t>모델명</t>
    <phoneticPr fontId="2" type="noConversion"/>
  </si>
  <si>
    <t>펫네임</t>
    <phoneticPr fontId="2" type="noConversion"/>
  </si>
  <si>
    <t>출고가</t>
    <phoneticPr fontId="2" type="noConversion"/>
  </si>
  <si>
    <t>애플</t>
    <phoneticPr fontId="2" type="noConversion"/>
  </si>
  <si>
    <t>삼성</t>
    <phoneticPr fontId="2" type="noConversion"/>
  </si>
  <si>
    <t>SM-T825N0</t>
    <phoneticPr fontId="2" type="noConversion"/>
  </si>
  <si>
    <t>갤럭시탭S3</t>
    <phoneticPr fontId="2" type="noConversion"/>
  </si>
  <si>
    <t>SM-X205NZAJKTC</t>
  </si>
  <si>
    <t>지니TV탭 2</t>
  </si>
  <si>
    <t>SM-T225N064</t>
    <phoneticPr fontId="2" type="noConversion"/>
  </si>
  <si>
    <t>Tab A7 Lite</t>
    <phoneticPr fontId="2" type="noConversion"/>
  </si>
  <si>
    <t>인포마크</t>
    <phoneticPr fontId="2" type="noConversion"/>
  </si>
  <si>
    <t>GLM-200</t>
    <phoneticPr fontId="2" type="noConversion"/>
  </si>
  <si>
    <t>GiGA Genie LTE2</t>
    <phoneticPr fontId="2" type="noConversion"/>
  </si>
  <si>
    <t>IML540</t>
    <phoneticPr fontId="2" type="noConversion"/>
  </si>
  <si>
    <t>Egg Talk</t>
    <phoneticPr fontId="2" type="noConversion"/>
  </si>
  <si>
    <t>마크링크</t>
  </si>
  <si>
    <t>MKL-E1100K</t>
  </si>
  <si>
    <t>5G EGG 2</t>
  </si>
  <si>
    <t>https://shopmns.com/ktmnsmgm</t>
    <phoneticPr fontId="2" type="noConversion"/>
  </si>
  <si>
    <t>AIP15PM-256</t>
    <phoneticPr fontId="2" type="noConversion"/>
  </si>
  <si>
    <t>AIP15PM-512</t>
    <phoneticPr fontId="2" type="noConversion"/>
  </si>
  <si>
    <t>AIP15PM-1T</t>
    <phoneticPr fontId="2" type="noConversion"/>
  </si>
  <si>
    <t>iPhone 15 Pro Max 256G</t>
    <phoneticPr fontId="2" type="noConversion"/>
  </si>
  <si>
    <t>iPhone 15 Pro Max 512G</t>
    <phoneticPr fontId="2" type="noConversion"/>
  </si>
  <si>
    <t>iPhone 15 Pro Max 1T</t>
    <phoneticPr fontId="2" type="noConversion"/>
  </si>
  <si>
    <t>SM-M446K</t>
    <phoneticPr fontId="2" type="noConversion"/>
  </si>
  <si>
    <t>Galaxy Jump3</t>
    <phoneticPr fontId="2" type="noConversion"/>
  </si>
  <si>
    <t>SM-M446K</t>
    <phoneticPr fontId="2" type="noConversion"/>
  </si>
  <si>
    <t>Galaxy Jump3</t>
    <phoneticPr fontId="2" type="noConversion"/>
  </si>
  <si>
    <t>SM-S711NK</t>
    <phoneticPr fontId="2" type="noConversion"/>
  </si>
  <si>
    <t>SM-S711NK</t>
    <phoneticPr fontId="2" type="noConversion"/>
  </si>
  <si>
    <t>갤럭시S23FE(256GB)</t>
    <phoneticPr fontId="2" type="noConversion"/>
  </si>
  <si>
    <t>갤럭시S23FE</t>
    <phoneticPr fontId="2" type="noConversion"/>
  </si>
  <si>
    <t>SM-A256NK</t>
    <phoneticPr fontId="2" type="noConversion"/>
  </si>
  <si>
    <t>갤럭시 A25(5G)</t>
    <phoneticPr fontId="2" type="noConversion"/>
  </si>
  <si>
    <t>SM-A256NK</t>
    <phoneticPr fontId="2" type="noConversion"/>
  </si>
  <si>
    <t>갤럭시 A25</t>
    <phoneticPr fontId="2" type="noConversion"/>
  </si>
  <si>
    <t>형태</t>
    <phoneticPr fontId="2" type="noConversion"/>
  </si>
  <si>
    <t>URL</t>
    <phoneticPr fontId="2" type="noConversion"/>
  </si>
  <si>
    <t>Z Flip5</t>
    <phoneticPr fontId="2" type="noConversion"/>
  </si>
  <si>
    <t>Z Fold5</t>
    <phoneticPr fontId="2" type="noConversion"/>
  </si>
  <si>
    <t>S23FE</t>
    <phoneticPr fontId="2" type="noConversion"/>
  </si>
  <si>
    <t>S23</t>
    <phoneticPr fontId="2" type="noConversion"/>
  </si>
  <si>
    <t>S23+</t>
    <phoneticPr fontId="2" type="noConversion"/>
  </si>
  <si>
    <t>S23울트라</t>
    <phoneticPr fontId="2" type="noConversion"/>
  </si>
  <si>
    <t>Z Flip4</t>
    <phoneticPr fontId="2" type="noConversion"/>
  </si>
  <si>
    <t>Z Fold4</t>
    <phoneticPr fontId="2" type="noConversion"/>
  </si>
  <si>
    <t>A346(5G)</t>
    <phoneticPr fontId="2" type="noConversion"/>
  </si>
  <si>
    <t>A256</t>
    <phoneticPr fontId="2" type="noConversion"/>
  </si>
  <si>
    <t>M446</t>
    <phoneticPr fontId="2" type="noConversion"/>
  </si>
  <si>
    <t>A245</t>
    <phoneticPr fontId="2" type="noConversion"/>
  </si>
  <si>
    <t>SM-F731</t>
    <phoneticPr fontId="2" type="noConversion"/>
  </si>
  <si>
    <t>SM-F946</t>
    <phoneticPr fontId="2" type="noConversion"/>
  </si>
  <si>
    <t>SM-S711</t>
    <phoneticPr fontId="2" type="noConversion"/>
  </si>
  <si>
    <t>SM-S911</t>
    <phoneticPr fontId="2" type="noConversion"/>
  </si>
  <si>
    <t>SM-S916</t>
    <phoneticPr fontId="2" type="noConversion"/>
  </si>
  <si>
    <t>SM-S918</t>
    <phoneticPr fontId="2" type="noConversion"/>
  </si>
  <si>
    <t>SM-F721</t>
    <phoneticPr fontId="2" type="noConversion"/>
  </si>
  <si>
    <t>SM-F936</t>
    <phoneticPr fontId="2" type="noConversion"/>
  </si>
  <si>
    <t>갤럭시A34</t>
    <phoneticPr fontId="2" type="noConversion"/>
  </si>
  <si>
    <t>갤럭시A25</t>
    <phoneticPr fontId="2" type="noConversion"/>
  </si>
  <si>
    <t>갤럭시 JUMP3</t>
    <phoneticPr fontId="2" type="noConversion"/>
  </si>
  <si>
    <t>갤럭시A24</t>
    <phoneticPr fontId="2" type="noConversion"/>
  </si>
  <si>
    <t>http://online.kt.com/index.jsp?prdcID=692CC6FC-B2A6-48EA-9BB9-CB08B1B26694</t>
    <phoneticPr fontId="2" type="noConversion"/>
  </si>
  <si>
    <t>http://online.kt.com/index.jsp?prdcID=99CBF38B-DC48-4AC7-918E-30ED6C5286CB</t>
    <phoneticPr fontId="2" type="noConversion"/>
  </si>
  <si>
    <t>http://online.kt.com/index.jsp?prdcID=F3BB1F20-E3AB-4B26-B8A7-6D8B1683C956</t>
    <phoneticPr fontId="2" type="noConversion"/>
  </si>
  <si>
    <t>http://online.kt.com/index.jsp?prdcID=38A8F409-5E78-4813-925A-8661183193D0</t>
    <phoneticPr fontId="2" type="noConversion"/>
  </si>
  <si>
    <t>http://online.kt.com/index.jsp?prdcID=D7C8BE70-515A-45C1-9148-DE357572F808</t>
    <phoneticPr fontId="2" type="noConversion"/>
  </si>
  <si>
    <t>http://online.kt.com/index.jsp?prdcID=20827A08-E1AA-44BA-A3CC-29C72702F26D</t>
    <phoneticPr fontId="2" type="noConversion"/>
  </si>
  <si>
    <t>http://online.kt.com/index.jsp?prdcID=A99CD043-7917-4BF1-83FE-F4ECC684337B</t>
    <phoneticPr fontId="2" type="noConversion"/>
  </si>
  <si>
    <t>http://online.kt.com/index.jsp?prdcID=4CCDBBE4-DA1E-4723-B3F8-C38734317615</t>
    <phoneticPr fontId="2" type="noConversion"/>
  </si>
  <si>
    <t>http://online.kt.com/index.jsp?prdcID=208B8561-5B9E-464A-9381-1FADA54AA05E</t>
    <phoneticPr fontId="2" type="noConversion"/>
  </si>
  <si>
    <t>http://online.kt.com/index.jsp?prdcID=1E9936A0-88DC-41EA-A0A1-5E73A4A917FE</t>
    <phoneticPr fontId="2" type="noConversion"/>
  </si>
  <si>
    <t>http://online.kt.com/index.jsp?prdcID=3FA3F292-9FAB-4F47-BB3E-10029EE124ED</t>
    <phoneticPr fontId="2" type="noConversion"/>
  </si>
  <si>
    <t>http://online.kt.com/index.jsp?prdcID=4DD20A5C-2CA5-452A-A9D4-B6B413796FFA</t>
    <phoneticPr fontId="2" type="noConversion"/>
  </si>
  <si>
    <t>http://online.kt.com/index.jsp?prdcID=431CA1A9-7322-47F2-8222-7328C7D297CB</t>
    <phoneticPr fontId="2" type="noConversion"/>
  </si>
  <si>
    <t>http://online.kt.com/index.jsp?prdcID=1B97C2B4-CD3F-4F45-9497-678529BB6858</t>
    <phoneticPr fontId="2" type="noConversion"/>
  </si>
  <si>
    <t>http://online.kt.com/index.jsp?prdcID=41E2517E-0107-49B5-8D63-24DE96D32630</t>
    <phoneticPr fontId="2" type="noConversion"/>
  </si>
  <si>
    <t>http://online.kt.com/index.jsp?prdcID=AC18A707-F252-4D94-AF37-F42F995D6F7E</t>
    <phoneticPr fontId="2" type="noConversion"/>
  </si>
  <si>
    <t>http://online.kt.com/index.jsp?prdcID=F53D2DFC-D804-4E21-A7C6-25148199AFAD</t>
    <phoneticPr fontId="2" type="noConversion"/>
  </si>
  <si>
    <t>http://online.kt.com/index.jsp?prdcID=122234E8-1249-438E-8911-D3C818B7AC51</t>
    <phoneticPr fontId="2" type="noConversion"/>
  </si>
  <si>
    <t>http://online.kt.com/index.jsp?prdcID=11F8FAE7-44E0-4E6A-867E-40C3A567D7DE</t>
    <phoneticPr fontId="2" type="noConversion"/>
  </si>
  <si>
    <t>http://online.kt.com/index.jsp?prdcID=A95B88C8-38BC-4FC3-BC05-2E0306FCF5B7</t>
    <phoneticPr fontId="2" type="noConversion"/>
  </si>
  <si>
    <t>http://online.kt.com/index.jsp?prdcID=2A23A5F6-2F04-4C07-8607-00028790198B</t>
    <phoneticPr fontId="2" type="noConversion"/>
  </si>
  <si>
    <t>http://online.kt.com/index.jsp?prdcID=49FB775D-D205-402C-8BF7-BC73CAC32C32</t>
    <phoneticPr fontId="2" type="noConversion"/>
  </si>
  <si>
    <t>http://online.kt.com/index.jsp?prdcID=79EB2CA3-9B36-49A8-A136-CF53C022759E</t>
    <phoneticPr fontId="2" type="noConversion"/>
  </si>
  <si>
    <t>http://online.kt.com/index.jsp?prdcID=8E2CE797-ABA0-408C-B095-B5086B784B48</t>
    <phoneticPr fontId="2" type="noConversion"/>
  </si>
  <si>
    <t>http://online.kt.com/index.jsp?prdcID=19FC9321-E27F-4180-8868-E1756A9014C6</t>
    <phoneticPr fontId="2" type="noConversion"/>
  </si>
  <si>
    <t>http://online.kt.com/index.jsp?prdcID=45B054B9-FC3F-48F6-91D9-7AC8186FB2F6</t>
    <phoneticPr fontId="2" type="noConversion"/>
  </si>
  <si>
    <t>http://online.kt.com/index.jsp?prdcID=F7060F12-0630-4283-A419-E1C6F5519C78</t>
    <phoneticPr fontId="2" type="noConversion"/>
  </si>
  <si>
    <t>http://online.kt.com/index.jsp?prdcID=ADBE7546-4CB3-4C74-A03F-8B23842F037B</t>
    <phoneticPr fontId="2" type="noConversion"/>
  </si>
  <si>
    <t>http://online.kt.com/index.jsp?prdcID=D492D16D-607F-43D3-B538-36E116F50344</t>
    <phoneticPr fontId="2" type="noConversion"/>
  </si>
  <si>
    <t>http://online.kt.com/index.jsp?prdcID=9BDAC0CE-D215-4E5A-85E7-2D09C8ED7C0E</t>
    <phoneticPr fontId="2" type="noConversion"/>
  </si>
  <si>
    <t>http://online.kt.com/index.jsp?prdcID=C28F7667-0FBC-45A7-9DF9-F1CFC34CF07A</t>
    <phoneticPr fontId="2" type="noConversion"/>
  </si>
  <si>
    <t>http://online.kt.com/index.jsp?prdcID=0A25015A-D101-4FE4-A73D-43420D27244A</t>
    <phoneticPr fontId="2" type="noConversion"/>
  </si>
  <si>
    <t>http://online.kt.com/index.jsp?prdcID=4C5D10FA-D201-4E56-B552-CCCBD9821A1C</t>
    <phoneticPr fontId="2" type="noConversion"/>
  </si>
  <si>
    <t>http://online.kt.com/index.jsp?prdcID=E6598325-4444-47D3-9215-12ECDB7364EC</t>
    <phoneticPr fontId="2" type="noConversion"/>
  </si>
  <si>
    <t>http://online.kt.com/index.jsp?prdcID=2491AC2F-FEF5-435C-A0C9-77E997D49979</t>
    <phoneticPr fontId="2" type="noConversion"/>
  </si>
  <si>
    <t>http://online.kt.com/index.jsp?prdcID=CCD369C4-5C73-4F57-90D5-5900E91B1835</t>
    <phoneticPr fontId="2" type="noConversion"/>
  </si>
  <si>
    <t>http://online.kt.com/index.jsp?prdcID=9CEB6A5E-4088-4BC3-85A9-584CF7A6BEF9</t>
    <phoneticPr fontId="2" type="noConversion"/>
  </si>
  <si>
    <t>http://online.kt.com/index.jsp?prdcID=31D76568-748B-4611-96B5-B6619AC2E343</t>
    <phoneticPr fontId="2" type="noConversion"/>
  </si>
  <si>
    <t>http://online.kt.com/index.jsp?prdcID=1E3314B5-54BE-497C-A3D7-FD74902163C3</t>
    <phoneticPr fontId="2" type="noConversion"/>
  </si>
  <si>
    <t>http://online.kt.com/index.jsp?prdcID=0E1D90A6-3387-4D4A-8A36-A5025D57EF00</t>
    <phoneticPr fontId="2" type="noConversion"/>
  </si>
  <si>
    <t>http://online.kt.com/index.jsp?prdcID=71FFEA20-0DD7-43C7-8FB7-298913879154</t>
    <phoneticPr fontId="2" type="noConversion"/>
  </si>
  <si>
    <t>http://online.kt.com/index.jsp?prdcID=7FEC2B12-17E2-4ED5-B70F-BEAB0B4BA465</t>
    <phoneticPr fontId="2" type="noConversion"/>
  </si>
  <si>
    <t>http://online.kt.com/index.jsp?prdcID=B87DFC09-7680-4C2A-B750-2880DF211FE8</t>
    <phoneticPr fontId="2" type="noConversion"/>
  </si>
  <si>
    <t>http://online.kt.com/index.jsp?prdcID=ED41E141-9E3A-429A-913E-0A49C7C55A89</t>
    <phoneticPr fontId="2" type="noConversion"/>
  </si>
  <si>
    <t>http://online.kt.com/index.jsp?prdcID=DA656364-AA28-4184-B227-F00E368B519E</t>
    <phoneticPr fontId="2" type="noConversion"/>
  </si>
  <si>
    <t>http://online.kt.com/index.jsp?prdcID=FA18D316-5CA1-4544-93A3-9CEBE5CD78BA</t>
    <phoneticPr fontId="2" type="noConversion"/>
  </si>
  <si>
    <t>http://online.kt.com/index.jsp?prdcID=30E74E4D-8CEC-4D6A-A18C-A1A8D1F3B659</t>
    <phoneticPr fontId="2" type="noConversion"/>
  </si>
  <si>
    <t>http://online.kt.com/index.jsp?prdcID=BCC0215A-3499-49CC-8670-FD0C8E7DE2E4</t>
    <phoneticPr fontId="2" type="noConversion"/>
  </si>
  <si>
    <t>SM-S928NK</t>
    <phoneticPr fontId="2" type="noConversion"/>
  </si>
  <si>
    <t>S24울트라</t>
    <phoneticPr fontId="2" type="noConversion"/>
  </si>
  <si>
    <t>SM-S921NK</t>
    <phoneticPr fontId="2" type="noConversion"/>
  </si>
  <si>
    <t>SM-S921NK512</t>
    <phoneticPr fontId="2" type="noConversion"/>
  </si>
  <si>
    <t>SM-S926NK</t>
    <phoneticPr fontId="2" type="noConversion"/>
  </si>
  <si>
    <t>SM-S921NK</t>
    <phoneticPr fontId="2" type="noConversion"/>
  </si>
  <si>
    <t>갤럭시S24 (256GB)</t>
    <phoneticPr fontId="2" type="noConversion"/>
  </si>
  <si>
    <t>갤럭시S24+ (256GB)</t>
    <phoneticPr fontId="2" type="noConversion"/>
  </si>
  <si>
    <t>갤럭시S24 울트라 (256GB)</t>
    <phoneticPr fontId="2" type="noConversion"/>
  </si>
  <si>
    <t>SM-S928NK512</t>
    <phoneticPr fontId="2" type="noConversion"/>
  </si>
  <si>
    <t>갤럭시S24 울트라 (512GB)</t>
    <phoneticPr fontId="2" type="noConversion"/>
  </si>
  <si>
    <t>갤럭시S24+ (512GB)</t>
    <phoneticPr fontId="2" type="noConversion"/>
  </si>
  <si>
    <t>갤럭시S24 (512GB)</t>
    <phoneticPr fontId="2" type="noConversion"/>
  </si>
  <si>
    <t>SM-S926NK512</t>
    <phoneticPr fontId="2" type="noConversion"/>
  </si>
  <si>
    <t>SM-S921NK</t>
    <phoneticPr fontId="2" type="noConversion"/>
  </si>
  <si>
    <t>SM-S926NK</t>
    <phoneticPr fontId="2" type="noConversion"/>
  </si>
  <si>
    <t>SM-S928NK</t>
    <phoneticPr fontId="2" type="noConversion"/>
  </si>
  <si>
    <t>갤럭시S24</t>
  </si>
  <si>
    <t>갤럭시S24+</t>
  </si>
  <si>
    <t>갤럭시S24 울트라</t>
  </si>
  <si>
    <t>SM-S926NK</t>
    <phoneticPr fontId="2" type="noConversion"/>
  </si>
  <si>
    <t>S24+</t>
    <phoneticPr fontId="2" type="noConversion"/>
  </si>
  <si>
    <t>AIP15PS-256</t>
    <phoneticPr fontId="2" type="noConversion"/>
  </si>
  <si>
    <t>iPhone 15 Plus 256G</t>
    <phoneticPr fontId="2" type="noConversion"/>
  </si>
  <si>
    <t>AIP15PS-128</t>
    <phoneticPr fontId="2" type="noConversion"/>
  </si>
  <si>
    <t>iPhone 15 Plus 128G</t>
    <phoneticPr fontId="2" type="noConversion"/>
  </si>
  <si>
    <t>http://online.kt.com/index.jsp?prdcID=6EA0E67E-BADA-4438-9D84-15990331A998</t>
    <phoneticPr fontId="2" type="noConversion"/>
  </si>
  <si>
    <t>http://online.kt.com/index.jsp?prdcID=84B7E5C4-45E9-4AB2-B461-C0D4C6BE0872</t>
    <phoneticPr fontId="2" type="noConversion"/>
  </si>
  <si>
    <t>http://online.kt.com/index.jsp?prdcID=4BA568F4-D344-4A08-946E-1115CE764D57</t>
    <phoneticPr fontId="2" type="noConversion"/>
  </si>
  <si>
    <t>http://online.kt.com/index.jsp?prdcID=4D889313-31BC-49C3-81CE-44BF85CCE1EE</t>
    <phoneticPr fontId="2" type="noConversion"/>
  </si>
  <si>
    <t>http://online.kt.com/index.jsp?prdcID=4807FF6D-147B-408D-BB1E-227DD2C3F285</t>
    <phoneticPr fontId="2" type="noConversion"/>
  </si>
  <si>
    <t>http://online.kt.com/index.jsp?prdcID=84B98D42-8B9E-45DB-9B72-794293E22A4C</t>
    <phoneticPr fontId="2" type="noConversion"/>
  </si>
  <si>
    <t>http://online.kt.com/index.jsp?prdcID=7793E314-A985-45D2-88CB-BDD19E745ECD</t>
    <phoneticPr fontId="2" type="noConversion"/>
  </si>
  <si>
    <t>http://online.kt.com/index.jsp?prdcID=8939B228-00BF-4CCB-B529-FE455A0EA297</t>
    <phoneticPr fontId="2" type="noConversion"/>
  </si>
  <si>
    <t>http://online.kt.com/index.jsp?prdcID=415AC892-3EFB-495E-A282-E54410A24E7A</t>
    <phoneticPr fontId="2" type="noConversion"/>
  </si>
  <si>
    <t>http://online.kt.com/index.jsp?prdcID=D366BDE5-96CF-4947-BB1A-A836D0541D95</t>
    <phoneticPr fontId="2" type="noConversion"/>
  </si>
  <si>
    <t>http://online.kt.com/index.jsp?prdcID=B8CCB6CB-7208-48ED-A66E-9B36357BCA41</t>
    <phoneticPr fontId="2" type="noConversion"/>
  </si>
  <si>
    <t>http://online.kt.com/index.jsp?prdcID=C7DD989D-E521-418E-A7DB-145DF7B98E79</t>
    <phoneticPr fontId="2" type="noConversion"/>
  </si>
  <si>
    <t>http://online.kt.com/index.jsp?prdcID=39C34425-F31C-4228-BF60-A95FD99D3AE2</t>
    <phoneticPr fontId="2" type="noConversion"/>
  </si>
  <si>
    <t>http://online.kt.com/index.jsp?prdcID=0E628745-8BC8-43A4-AA60-E835BBBA205B</t>
    <phoneticPr fontId="2" type="noConversion"/>
  </si>
  <si>
    <t>http://online.kt.com/index.jsp?prdcID=593D17D1-511F-44AC-95D2-262E0257B7BD</t>
    <phoneticPr fontId="2" type="noConversion"/>
  </si>
  <si>
    <t>http://online.kt.com/index.jsp?prdcID=ECAA6A61-C5E0-4026-AE7E-9DCA1DDA436B</t>
    <phoneticPr fontId="2" type="noConversion"/>
  </si>
  <si>
    <t>http://online.kt.com/index.jsp?prdcID=7875822A-6AAA-4EB7-8FEF-C8B8468D1C36</t>
    <phoneticPr fontId="2" type="noConversion"/>
  </si>
  <si>
    <t>http://online.kt.com/index.jsp?prdcID=EE7DCBBE-1E9C-44E6-9301-9D6B8EA7139D</t>
    <phoneticPr fontId="2" type="noConversion"/>
  </si>
  <si>
    <t>http://online.kt.com/index.jsp?prdcID=4974DD0E-AC61-441F-9B1C-0AA2007B5E66</t>
    <phoneticPr fontId="2" type="noConversion"/>
  </si>
  <si>
    <t>http://online.kt.com/index.jsp?prdcID=4C16C4CB-9C30-4945-A5E7-5A9B214045A9</t>
    <phoneticPr fontId="2" type="noConversion"/>
  </si>
  <si>
    <t>http://online.kt.com/index.jsp?prdcID=F926F755-193C-4F47-8CF1-0A1D19832B5B</t>
    <phoneticPr fontId="2" type="noConversion"/>
  </si>
  <si>
    <t>http://online.kt.com/index.jsp?prdcID=E50AD883-AC5C-4AC7-A641-6E8CF521FC09</t>
    <phoneticPr fontId="2" type="noConversion"/>
  </si>
  <si>
    <t>http://online.kt.com/index.jsp?prdcID=0B9D56CD-83FB-4197-93D6-47E03EA003D6</t>
    <phoneticPr fontId="2" type="noConversion"/>
  </si>
  <si>
    <t>http://online.kt.com/index.jsp?prdcID=09D546A4-0A40-49CE-BB63-8B0DD006D444</t>
    <phoneticPr fontId="2" type="noConversion"/>
  </si>
  <si>
    <t>http://online.kt.com/index.jsp?prdcID=F54F9FA8-B015-461C-B26B-CADCCAA1EEF2</t>
    <phoneticPr fontId="2" type="noConversion"/>
  </si>
  <si>
    <t>http://online.kt.com/index.jsp?prdcID=DAB19740-8B0D-4CED-A3C7-00CDFD53DAB4</t>
    <phoneticPr fontId="2" type="noConversion"/>
  </si>
  <si>
    <t>http://online.kt.com/index.jsp?prdcID=9F3EE6ED-89E3-44FA-8ABA-E93702349211</t>
    <phoneticPr fontId="2" type="noConversion"/>
  </si>
  <si>
    <t>http://online.kt.com/index.jsp?prdcID=AA9E414D-A7CC-4FB7-90D9-86B8AEFD5331</t>
    <phoneticPr fontId="2" type="noConversion"/>
  </si>
  <si>
    <t>http://online.kt.com/index.jsp?prdcID=75840DE6-FF4E-42B4-BC91-B447A782B33F</t>
    <phoneticPr fontId="2" type="noConversion"/>
  </si>
  <si>
    <t>http://online.kt.com/index.jsp?prdcID=00BE8F12-F046-4B80-B231-EBC3491B7006</t>
    <phoneticPr fontId="2" type="noConversion"/>
  </si>
  <si>
    <t>심플30G</t>
  </si>
  <si>
    <t>심플30G</t>
    <phoneticPr fontId="2" type="noConversion"/>
  </si>
  <si>
    <t>슬림4G</t>
  </si>
  <si>
    <t>슬림4G</t>
    <phoneticPr fontId="2" type="noConversion"/>
  </si>
  <si>
    <t>슬림10G</t>
  </si>
  <si>
    <t>슬림10G</t>
    <phoneticPr fontId="2" type="noConversion"/>
  </si>
  <si>
    <t>(공통)
33K 이상 정책 대상 List</t>
    <phoneticPr fontId="2" type="noConversion"/>
  </si>
  <si>
    <t>(공통)
44K 이상 정책 대상 List</t>
    <phoneticPr fontId="2" type="noConversion"/>
  </si>
  <si>
    <t>(공통)
49K 이상 정책 대상 List</t>
    <phoneticPr fontId="2" type="noConversion"/>
  </si>
  <si>
    <t>(공통)
55K 이상 정책 대상 List</t>
    <phoneticPr fontId="2" type="noConversion"/>
  </si>
  <si>
    <t>(공통)
61K 이상 정책 대상 List</t>
    <phoneticPr fontId="2" type="noConversion"/>
  </si>
  <si>
    <t>(공통)
69K 이상 정책 대상 List</t>
    <phoneticPr fontId="2" type="noConversion"/>
  </si>
  <si>
    <t>(공통)
80K 이상 정책 대상 List</t>
    <phoneticPr fontId="2" type="noConversion"/>
  </si>
  <si>
    <t>(공통)
90K 이상 정책 대상 List</t>
    <phoneticPr fontId="2" type="noConversion"/>
  </si>
  <si>
    <t>(공통)
110K 이상 정책 대상 List</t>
    <phoneticPr fontId="2" type="noConversion"/>
  </si>
  <si>
    <t>5G 슬림 14GB</t>
    <phoneticPr fontId="2" type="noConversion"/>
  </si>
  <si>
    <t>5G 슬림 14GB</t>
  </si>
  <si>
    <t>5G 슬림(이월) 14GB</t>
    <phoneticPr fontId="2" type="noConversion"/>
  </si>
  <si>
    <t>PL23B1938</t>
    <phoneticPr fontId="2" type="noConversion"/>
  </si>
  <si>
    <t>5G 심플 110GB</t>
    <phoneticPr fontId="2" type="noConversion"/>
  </si>
  <si>
    <t>5G 심플 110GB</t>
  </si>
  <si>
    <t>5G 심플 90GB</t>
  </si>
  <si>
    <t>PL234D608</t>
  </si>
  <si>
    <t>5G 심플 70GB</t>
  </si>
  <si>
    <t>PL234D607</t>
  </si>
  <si>
    <t>5G 심플 50GB</t>
  </si>
  <si>
    <t>PL234D606</t>
  </si>
  <si>
    <t>5G 슬림 7GB</t>
  </si>
  <si>
    <t>5G 슬림(이월) 7GB</t>
    <phoneticPr fontId="2" type="noConversion"/>
  </si>
  <si>
    <t>PL23B1935</t>
    <phoneticPr fontId="2" type="noConversion"/>
  </si>
  <si>
    <t>5G 심플 30GB</t>
    <phoneticPr fontId="2" type="noConversion"/>
  </si>
  <si>
    <t>5G 슬림 21GB</t>
    <phoneticPr fontId="2" type="noConversion"/>
  </si>
  <si>
    <t>PL23B1944</t>
    <phoneticPr fontId="2" type="noConversion"/>
  </si>
  <si>
    <t>5G 슬림(이월) 21GB</t>
    <phoneticPr fontId="2" type="noConversion"/>
  </si>
  <si>
    <t>PL23B1940</t>
    <phoneticPr fontId="2" type="noConversion"/>
  </si>
  <si>
    <t>5G 슬림 10GB</t>
    <phoneticPr fontId="2" type="noConversion"/>
  </si>
  <si>
    <t>PL23B1943</t>
    <phoneticPr fontId="2" type="noConversion"/>
  </si>
  <si>
    <t>5G 슬림(이월) 10GB</t>
    <phoneticPr fontId="2" type="noConversion"/>
  </si>
  <si>
    <t>PL23B1937</t>
    <phoneticPr fontId="2" type="noConversion"/>
  </si>
  <si>
    <t>5G 슬림 4GB</t>
    <phoneticPr fontId="2" type="noConversion"/>
  </si>
  <si>
    <t>PL23B1942</t>
    <phoneticPr fontId="2" type="noConversion"/>
  </si>
  <si>
    <t>5G 슬림(이월) 4GB</t>
    <phoneticPr fontId="2" type="noConversion"/>
  </si>
  <si>
    <t>PL23B1934</t>
    <phoneticPr fontId="2" type="noConversion"/>
  </si>
  <si>
    <t>(공통)
33K 미만 정책 대상 List</t>
    <phoneticPr fontId="2" type="noConversion"/>
  </si>
  <si>
    <t>LTE 음성 18.7</t>
  </si>
  <si>
    <t>LTENDT198</t>
  </si>
  <si>
    <t>LTE-골든150(안심차단)</t>
  </si>
  <si>
    <t>LTEPIG150</t>
  </si>
  <si>
    <t>LTE-골든150</t>
  </si>
  <si>
    <t>LTERAG150</t>
  </si>
  <si>
    <t>키즈 알115(LTE)</t>
  </si>
  <si>
    <t>LTESLVBGR</t>
  </si>
  <si>
    <t>LTE 음성 12.1</t>
  </si>
  <si>
    <t>LTESTNDRD</t>
  </si>
  <si>
    <t>순 LTE선택형100분250MB</t>
  </si>
  <si>
    <t>SELECSA01</t>
  </si>
  <si>
    <t>순 LTE선택형100분1GB</t>
  </si>
  <si>
    <t>SELECSA02</t>
  </si>
  <si>
    <t>순 LTE선택형100분2GB</t>
  </si>
  <si>
    <t>SELECSA03</t>
  </si>
  <si>
    <t>순 LTE선택형180분250MB</t>
  </si>
  <si>
    <t>SELECSB01</t>
  </si>
  <si>
    <t>순 LTE선택형180분1GB</t>
  </si>
  <si>
    <t>SELECSB02</t>
  </si>
  <si>
    <t>순 망내무한선택형100분250MB</t>
  </si>
  <si>
    <t>SELECSF01</t>
  </si>
  <si>
    <t>순 망내무한선택형100분1GB</t>
  </si>
  <si>
    <t>SELECSF02</t>
  </si>
  <si>
    <t>순 망내무한선택형180분250MB</t>
  </si>
  <si>
    <t>SELECSG01</t>
  </si>
  <si>
    <t>Y주니어 19.8(LTE)</t>
  </si>
  <si>
    <t>YJUNRLTE1</t>
  </si>
  <si>
    <t>티빙/지니 초이스 스페셜</t>
    <phoneticPr fontId="2" type="noConversion"/>
  </si>
  <si>
    <t>5G 슬림 7GB</t>
    <phoneticPr fontId="2" type="noConversion"/>
  </si>
  <si>
    <t>PL2154385</t>
    <phoneticPr fontId="2" type="noConversion"/>
  </si>
  <si>
    <t>데이터 ON 프리미엄</t>
    <phoneticPr fontId="2" type="noConversion"/>
  </si>
  <si>
    <t>KDRTLTE90</t>
  </si>
  <si>
    <t>Y데이터 ON 프리미엄</t>
  </si>
  <si>
    <t>NWY24LTE3</t>
  </si>
  <si>
    <t>데이터 ON 비디오 플러스</t>
    <phoneticPr fontId="2" type="noConversion"/>
  </si>
  <si>
    <t>PL227R448</t>
  </si>
  <si>
    <t>Y 데이터 ON 비디오 플러스</t>
    <phoneticPr fontId="2" type="noConversion"/>
  </si>
  <si>
    <t>PL2292828</t>
  </si>
  <si>
    <t>Y 군인 77 Plus</t>
  </si>
  <si>
    <t>PL2043266</t>
    <phoneticPr fontId="2" type="noConversion"/>
  </si>
  <si>
    <t>LTE 슬림 플러스</t>
    <phoneticPr fontId="2" type="noConversion"/>
  </si>
  <si>
    <t>PL22BS558</t>
    <phoneticPr fontId="2" type="noConversion"/>
  </si>
  <si>
    <t>NWY24LTE3</t>
    <phoneticPr fontId="2" type="noConversion"/>
  </si>
  <si>
    <t>데이터 ON 톡 플러스</t>
    <phoneticPr fontId="2" type="noConversion"/>
  </si>
  <si>
    <t>PL227R450</t>
  </si>
  <si>
    <t>Y데이터 ON 프리미엄</t>
    <phoneticPr fontId="2" type="noConversion"/>
  </si>
  <si>
    <t>LTE 베이직 플러스</t>
    <phoneticPr fontId="2" type="noConversion"/>
  </si>
  <si>
    <t>PL2312875</t>
    <phoneticPr fontId="2" type="noConversion"/>
  </si>
  <si>
    <t>Y 군인 55 Plus(미디어팩)</t>
  </si>
  <si>
    <t>NWYROKAF1</t>
  </si>
  <si>
    <t>Y 데이터 ON 톡 플러스</t>
    <phoneticPr fontId="2" type="noConversion"/>
  </si>
  <si>
    <t>PL2292829</t>
  </si>
  <si>
    <t>Y 군인 55 Plus</t>
  </si>
  <si>
    <t>PL202R905</t>
    <phoneticPr fontId="2" type="noConversion"/>
  </si>
  <si>
    <t>순 LTE선택형400분6GB</t>
  </si>
  <si>
    <t>SELECSD05</t>
  </si>
  <si>
    <t>순 LTE선택형400분10GB</t>
  </si>
  <si>
    <t>SELECSD06</t>
  </si>
  <si>
    <t>순 골든20(LTE)</t>
  </si>
  <si>
    <t>GDN275LTN</t>
  </si>
  <si>
    <t>데이터ON 시니어</t>
  </si>
  <si>
    <t>PL19B5411</t>
    <phoneticPr fontId="2" type="noConversion"/>
  </si>
  <si>
    <t>순 망내무한선택형180분10GB</t>
  </si>
  <si>
    <t>SELECSG06</t>
  </si>
  <si>
    <t>LTE 베이직</t>
  </si>
  <si>
    <t>KDRTLTE40</t>
  </si>
  <si>
    <t>데이터ON 나눔</t>
  </si>
  <si>
    <t>PL19B5412</t>
  </si>
  <si>
    <t>순 망내무한선택형300분10GB</t>
  </si>
  <si>
    <t>SELECSH06</t>
    <phoneticPr fontId="2" type="noConversion"/>
  </si>
  <si>
    <t>PL19B5411</t>
  </si>
  <si>
    <t>순 LTE선택형180분10GB</t>
  </si>
  <si>
    <t>SELECSB06</t>
  </si>
  <si>
    <t>LTE 안심데이터 38.5</t>
  </si>
  <si>
    <t>KJPLTE4J1</t>
  </si>
  <si>
    <t>순 LTE선택형300분6GB</t>
  </si>
  <si>
    <t>SELECSC05</t>
  </si>
  <si>
    <t>Y틴 ON</t>
  </si>
  <si>
    <t>NBIGI0001</t>
  </si>
  <si>
    <t>PL202R905</t>
  </si>
  <si>
    <t>순 LTE선택형300분10GB</t>
  </si>
  <si>
    <t>SELECSC06</t>
  </si>
  <si>
    <t>PL2043266</t>
  </si>
  <si>
    <t>순 LTE선택형400분1GB</t>
  </si>
  <si>
    <t>SELECSD02</t>
  </si>
  <si>
    <t>순 LTE선택형100분10GB</t>
  </si>
  <si>
    <t>SELECSA06</t>
  </si>
  <si>
    <t>순 LTE선택형400분2GB</t>
  </si>
  <si>
    <t>SELECSD03</t>
  </si>
  <si>
    <t>순 LTE선택형180분6GB</t>
  </si>
  <si>
    <t>SELECSB05</t>
  </si>
  <si>
    <t>순 LTE선택형400분3GB</t>
  </si>
  <si>
    <t>SELECSD04</t>
  </si>
  <si>
    <t>Y 군인 33</t>
  </si>
  <si>
    <t>NWYROKAF0</t>
  </si>
  <si>
    <t>순 LTE선택형300분2GB</t>
  </si>
  <si>
    <t>SELECSC03</t>
  </si>
  <si>
    <t>시니어 베이직</t>
  </si>
  <si>
    <t>PL19B5399</t>
  </si>
  <si>
    <t>순 LTE선택형300분3GB</t>
  </si>
  <si>
    <t>SELECSC04</t>
  </si>
  <si>
    <t>순 망내무한선택형100분10GB</t>
  </si>
  <si>
    <t>SELECSF06</t>
  </si>
  <si>
    <t>나눔 베이직</t>
  </si>
  <si>
    <t>PL19B5407</t>
  </si>
  <si>
    <t>순 망내무한선택형180분6GB</t>
  </si>
  <si>
    <t>SELECSG05</t>
  </si>
  <si>
    <t>순 LTE선택형400분250MB</t>
  </si>
  <si>
    <t>SELECSD01</t>
  </si>
  <si>
    <t>순 망내무한선택형300분2GB</t>
  </si>
  <si>
    <t>SELECSH03</t>
  </si>
  <si>
    <t>순 망내무한선택형300분3GB</t>
  </si>
  <si>
    <t>SELECSH04</t>
  </si>
  <si>
    <t>순 망내무한선택형300분6GB</t>
  </si>
  <si>
    <t>SELECSH05</t>
  </si>
  <si>
    <t>Y주니어 ON</t>
    <phoneticPr fontId="2" type="noConversion"/>
  </si>
  <si>
    <t>PL20BN437</t>
  </si>
  <si>
    <t>SELECSH06</t>
  </si>
  <si>
    <t>LTE 주니어 슬림</t>
    <phoneticPr fontId="2" type="noConversion"/>
  </si>
  <si>
    <t>PL21BT587</t>
  </si>
  <si>
    <t>Y 베이직</t>
  </si>
  <si>
    <t>PYTLTEBAS</t>
  </si>
  <si>
    <t>순 LTE선택형100분3GB</t>
  </si>
  <si>
    <t>SELECSA04</t>
  </si>
  <si>
    <t>순 LTE선택형100분6GB</t>
  </si>
  <si>
    <t>SELECSA05</t>
  </si>
  <si>
    <t>순 망내무한선택형180분2GB</t>
  </si>
  <si>
    <t>SELECSG03</t>
  </si>
  <si>
    <t>순 망내무한선택형180분3GB</t>
  </si>
  <si>
    <t>SELECSG04</t>
  </si>
  <si>
    <t>순 LTE선택형180분2GB</t>
  </si>
  <si>
    <t>SELECSB03</t>
  </si>
  <si>
    <t>순 LTE선택형180분3GB</t>
  </si>
  <si>
    <t>SELECSB04</t>
  </si>
  <si>
    <t>순 망내무한선택형300분250MB</t>
  </si>
  <si>
    <t>SELECSH01</t>
  </si>
  <si>
    <t>순 망내무한선택형300분1GB</t>
  </si>
  <si>
    <t>SELECSH02</t>
  </si>
  <si>
    <t>순 LTE선택형300분250MB</t>
  </si>
  <si>
    <t>SELECSC01</t>
  </si>
  <si>
    <t>순 LTE선택형300분1GB</t>
  </si>
  <si>
    <t>SELECSC02</t>
  </si>
  <si>
    <t>순 망내무한선택형100분2GB</t>
  </si>
  <si>
    <t>SELECSF03</t>
  </si>
  <si>
    <t>순 망내무한선택형100분3GB</t>
  </si>
  <si>
    <t>SELECSF04</t>
  </si>
  <si>
    <t>순 망내무한선택형100분6GB</t>
  </si>
  <si>
    <t>SELECSF05</t>
  </si>
  <si>
    <t>순 망내무한선택형180분1GB</t>
  </si>
  <si>
    <t>SELECSG02</t>
  </si>
  <si>
    <t>Y틴 20(LTE)</t>
  </si>
  <si>
    <t>TYTLTE199</t>
  </si>
  <si>
    <t>Y틴 27(LTE)</t>
  </si>
  <si>
    <t>TYTLTE249</t>
  </si>
  <si>
    <t>SM-S928NK</t>
    <phoneticPr fontId="2" type="noConversion"/>
  </si>
  <si>
    <t>S24</t>
    <phoneticPr fontId="2" type="noConversion"/>
  </si>
  <si>
    <t>S24울트라</t>
    <phoneticPr fontId="2" type="noConversion"/>
  </si>
  <si>
    <t>SM-A155NK</t>
    <phoneticPr fontId="2" type="noConversion"/>
  </si>
  <si>
    <t>갤럭시 A15</t>
    <phoneticPr fontId="2" type="noConversion"/>
  </si>
  <si>
    <t>MI-RMN13P5GK</t>
    <phoneticPr fontId="2" type="noConversion"/>
  </si>
  <si>
    <t>샤오미 레드미 노트 13 Pro 5G</t>
    <phoneticPr fontId="2" type="noConversion"/>
  </si>
  <si>
    <t>MI-RMN13K</t>
    <phoneticPr fontId="2" type="noConversion"/>
  </si>
  <si>
    <t>샤오미 레드미 노트 13</t>
    <phoneticPr fontId="2" type="noConversion"/>
  </si>
  <si>
    <t>(공통)
100K 이상 정책 대상 List</t>
    <phoneticPr fontId="2" type="noConversion"/>
  </si>
  <si>
    <t>■ 전환지원금 47K미만 요금제 List</t>
    <phoneticPr fontId="2" type="noConversion"/>
  </si>
  <si>
    <t>전환지원금
47K 미만 대상 List</t>
    <phoneticPr fontId="2" type="noConversion"/>
  </si>
  <si>
    <t>■ 공시 지원금 (3.21일~)</t>
    <phoneticPr fontId="2" type="noConversion"/>
  </si>
  <si>
    <t>5G/LTE
구분</t>
    <phoneticPr fontId="2" type="noConversion"/>
  </si>
  <si>
    <t>모델명</t>
    <phoneticPr fontId="2" type="noConversion"/>
  </si>
  <si>
    <t>지원금 구분</t>
    <phoneticPr fontId="2" type="noConversion"/>
  </si>
  <si>
    <t>요금제별 지원금</t>
    <phoneticPr fontId="2" type="noConversion"/>
  </si>
  <si>
    <t xml:space="preserve">초이스 프리미엄
</t>
    <phoneticPr fontId="2" type="noConversion"/>
  </si>
  <si>
    <t xml:space="preserve">초이스 스페셜
</t>
    <phoneticPr fontId="2" type="noConversion"/>
  </si>
  <si>
    <t xml:space="preserve">스페셜
</t>
    <phoneticPr fontId="2" type="noConversion"/>
  </si>
  <si>
    <t>초이스 베이직
ON 프리미엄</t>
    <phoneticPr fontId="2" type="noConversion"/>
  </si>
  <si>
    <t xml:space="preserve">베이직
</t>
    <phoneticPr fontId="2" type="noConversion"/>
  </si>
  <si>
    <t>5G 심플 110G
ON 비디오</t>
    <phoneticPr fontId="2" type="noConversion"/>
  </si>
  <si>
    <t>5G 슬림 플러스
LTE 슬림 플러스</t>
    <phoneticPr fontId="2" type="noConversion"/>
  </si>
  <si>
    <t xml:space="preserve">5G 슬림
</t>
    <phoneticPr fontId="2" type="noConversion"/>
  </si>
  <si>
    <t xml:space="preserve">
ON 톡</t>
    <phoneticPr fontId="2" type="noConversion"/>
  </si>
  <si>
    <t xml:space="preserve">5G Y틴
</t>
    <phoneticPr fontId="2" type="noConversion"/>
  </si>
  <si>
    <t xml:space="preserve">5G 세이브
</t>
    <phoneticPr fontId="2" type="noConversion"/>
  </si>
  <si>
    <t xml:space="preserve">5G 주니어
</t>
    <phoneticPr fontId="2" type="noConversion"/>
  </si>
  <si>
    <t xml:space="preserve">
LTE 베이직</t>
  </si>
  <si>
    <t>5G 주니어 슬림
LTE 주니어 슬림</t>
    <phoneticPr fontId="2" type="noConversion"/>
  </si>
  <si>
    <t xml:space="preserve">
Y주니어ON</t>
    <phoneticPr fontId="2" type="noConversion"/>
  </si>
  <si>
    <t xml:space="preserve">
Y주니어19.8</t>
    <phoneticPr fontId="2" type="noConversion"/>
  </si>
  <si>
    <t>※ 요금할인(지원금) 25% + vat.</t>
    <phoneticPr fontId="2" type="noConversion"/>
  </si>
  <si>
    <t>공시지원금</t>
  </si>
  <si>
    <t>MNP 전환 지원금</t>
  </si>
  <si>
    <t>5G</t>
  </si>
  <si>
    <t>LTE</t>
    <phoneticPr fontId="2" type="noConversion"/>
  </si>
  <si>
    <t>SM-A155NK</t>
    <phoneticPr fontId="2" type="noConversion"/>
  </si>
  <si>
    <t>갤럭시 A15</t>
    <phoneticPr fontId="2" type="noConversion"/>
  </si>
  <si>
    <t>LTE</t>
    <phoneticPr fontId="2" type="noConversion"/>
  </si>
  <si>
    <t>AT-M130K</t>
  </si>
  <si>
    <t>시나모롤 키즈폰</t>
  </si>
  <si>
    <t>■ 정책 적용 요금제 List_(공통/24.5.1~)</t>
    <phoneticPr fontId="2" type="noConversion"/>
  </si>
  <si>
    <t>(공통)
37K 이상 정책 대상 List</t>
    <phoneticPr fontId="2" type="noConversion"/>
  </si>
  <si>
    <t>PL241V593</t>
  </si>
  <si>
    <t>PL241V594</t>
  </si>
  <si>
    <t>PL241V595</t>
  </si>
  <si>
    <t>웰컴 5</t>
  </si>
  <si>
    <t>PL2435782</t>
  </si>
  <si>
    <t>웰컴 3</t>
  </si>
  <si>
    <t>PL2435781</t>
  </si>
  <si>
    <t>웰컴 1</t>
  </si>
  <si>
    <t>PL2435780</t>
  </si>
  <si>
    <t>■ 정책 적용 요금제 List_(5G요금제/24.5.1~)</t>
    <phoneticPr fontId="2" type="noConversion"/>
  </si>
  <si>
    <t>http://online.kt.com/index.jsp?prdcID=3C018A8E-CD0A-46C2-82C6-8C19F261F4F6</t>
  </si>
  <si>
    <t>http://online.kt.com/index.jsp?prdcID=F55AC94D-D2BD-497E-9E91-C8DB5910F3FC</t>
  </si>
  <si>
    <t>http://online.kt.com/index.jsp?prdcID=1B7F40BF-F23F-4A9C-A158-909373C3AA4B</t>
  </si>
  <si>
    <t>http://online.kt.com/index.jsp?prdcID=4E89440A-9F1A-4186-A399-5C4E9B6A1D96</t>
  </si>
  <si>
    <t>http://online.kt.com/index.jsp?prdcID=3447A192-DF9A-42A2-BA20-10AA29012229</t>
  </si>
  <si>
    <t>http://online.kt.com/index.jsp?prdcID=BF263F71-1E40-4072-9D86-A1DD7CC54CB5</t>
  </si>
  <si>
    <t>http://online.kt.com/index.jsp?prdcID=2EE05656-2B01-4F0E-B525-27E5118A4C0C</t>
  </si>
  <si>
    <t>SM-S911NK_PYE</t>
    <phoneticPr fontId="2" type="noConversion"/>
  </si>
  <si>
    <t>갤럭시S23 프리미엄 Y에디션(256GB)</t>
    <phoneticPr fontId="2" type="noConversion"/>
  </si>
  <si>
    <t>갤럭시S23 프리미엄 Y에디션</t>
    <phoneticPr fontId="2" type="noConversion"/>
  </si>
  <si>
    <t>http://online.kt.com/index.jsp?prdcID=F07584FF-1983-4E9E-BBA8-7D677278B3F7</t>
    <phoneticPr fontId="2" type="noConversion"/>
  </si>
  <si>
    <t>http://online.kt.com/index.jsp?prdcID=3EBDA557-F83B-447D-9486-2F2F4D860F76</t>
    <phoneticPr fontId="2" type="noConversion"/>
  </si>
  <si>
    <t>SM-A356NK</t>
    <phoneticPr fontId="2" type="noConversion"/>
  </si>
  <si>
    <t>SM-A356NK</t>
    <phoneticPr fontId="2" type="noConversion"/>
  </si>
  <si>
    <t>갤럭시 A35(5G)</t>
    <phoneticPr fontId="2" type="noConversion"/>
  </si>
  <si>
    <t>SM-A356NK</t>
    <phoneticPr fontId="2" type="noConversion"/>
  </si>
  <si>
    <t>갤럭시 A35 5G</t>
    <phoneticPr fontId="2" type="noConversion"/>
  </si>
  <si>
    <t>SM-F741NK</t>
  </si>
  <si>
    <t>갤럭시 Z Flip6</t>
  </si>
  <si>
    <t>SM-F956NK</t>
  </si>
  <si>
    <t>갤럭시 Z Fold6</t>
  </si>
  <si>
    <t>SM-F741NK512</t>
  </si>
  <si>
    <t>갤럭시 Z Flip6 512GB</t>
  </si>
  <si>
    <t>SM-F956NK512</t>
  </si>
  <si>
    <t>갤럭시 Z Fold6 512GB</t>
  </si>
  <si>
    <t>SM-F741NK</t>
    <phoneticPr fontId="2" type="noConversion"/>
  </si>
  <si>
    <t>SM-F956NK</t>
    <phoneticPr fontId="2" type="noConversion"/>
  </si>
  <si>
    <t>SM-F741NK</t>
    <phoneticPr fontId="2" type="noConversion"/>
  </si>
  <si>
    <t>SM-F956NK</t>
    <phoneticPr fontId="2" type="noConversion"/>
  </si>
  <si>
    <t>갤럭시 Z Flip6</t>
    <phoneticPr fontId="2" type="noConversion"/>
  </si>
  <si>
    <t>갤럭시 Z Fold6</t>
    <phoneticPr fontId="2" type="noConversion"/>
  </si>
  <si>
    <t>AIP13-128</t>
    <phoneticPr fontId="2" type="noConversion"/>
  </si>
  <si>
    <t>AIP13-256</t>
    <phoneticPr fontId="2" type="noConversion"/>
  </si>
  <si>
    <t>아이폰13 128GB</t>
    <phoneticPr fontId="2" type="noConversion"/>
  </si>
  <si>
    <t>아이폰13 256GB</t>
    <phoneticPr fontId="2" type="noConversion"/>
  </si>
  <si>
    <t>워치 울트라</t>
    <phoneticPr fontId="2" type="noConversion"/>
  </si>
  <si>
    <t>갤럭시 워치7 40mm</t>
  </si>
  <si>
    <t>갤럭시 워치7 44mm</t>
  </si>
  <si>
    <t>MI-RMN13P5GK-512</t>
    <phoneticPr fontId="2" type="noConversion"/>
  </si>
  <si>
    <t>샤오미 레드미 노트 13 Pro 5G 512</t>
    <phoneticPr fontId="2" type="noConversion"/>
  </si>
  <si>
    <t>SM-A245NK</t>
    <phoneticPr fontId="2" type="noConversion"/>
  </si>
  <si>
    <t>갤럭시 A24</t>
    <phoneticPr fontId="2" type="noConversion"/>
  </si>
  <si>
    <t>AWSE2NC-40ASBST</t>
  </si>
  <si>
    <t>Apple Watch SE2 40mm 스타라이트 알류미늄</t>
  </si>
  <si>
    <t>AWSE2NC-40ASBM</t>
  </si>
  <si>
    <t>Apple Watch SE2 40mm 미드나이트 알류미늄</t>
  </si>
  <si>
    <t>AWSE2NC-40ASBW</t>
  </si>
  <si>
    <t>Apple Watch SE2 40mm 실버 알류미늄</t>
  </si>
  <si>
    <t>AWSE2NC-44ASBST</t>
  </si>
  <si>
    <t>Apple Watch SE2 44mm 스타라이트 알류미늄</t>
  </si>
  <si>
    <t>AWSE2NC-44ASBM</t>
  </si>
  <si>
    <t>Apple Watch SE2 44mm 미드나이트 알류미늄</t>
  </si>
  <si>
    <t>AWSE2NC-44ASBW</t>
  </si>
  <si>
    <t>Apple Watch SE2 44mm 실버 알류미늄</t>
  </si>
  <si>
    <t>AW9C-41ASBR</t>
  </si>
  <si>
    <t>Apple Watch Series 9 41mm 레드 알루미늄</t>
  </si>
  <si>
    <t>AW9C-41ASBST</t>
  </si>
  <si>
    <t>Apple Watch Series 9 41mm 스타라이트 알루미늄</t>
  </si>
  <si>
    <t>AW9C-41ASBM</t>
  </si>
  <si>
    <t>Apple Watch Series 9 41mm 미드나이트 알루미늄</t>
  </si>
  <si>
    <t>AW9C-41ASBW</t>
  </si>
  <si>
    <t>Apple Watch Series 9 41mm 실버 알루미늄</t>
  </si>
  <si>
    <t>AW9C-41ASBP</t>
  </si>
  <si>
    <t>Apple Watch Series 9 41mm 핑크 알루미늄</t>
  </si>
  <si>
    <t>AW9C-41SMLS</t>
  </si>
  <si>
    <t>Apple Watch Series 9 41mm 실버 스테인리스 스틸</t>
  </si>
  <si>
    <t>AW9C-41SMLG</t>
  </si>
  <si>
    <t>Apple Watch Series 9 41mm 골드 스테인리스 스틸</t>
  </si>
  <si>
    <t>AW9C-41SMLP</t>
  </si>
  <si>
    <t>Apple Watch Series 9 41mm 그래파이트 스테인리스 스틸</t>
  </si>
  <si>
    <t>AW9C-45ASBR</t>
  </si>
  <si>
    <t>Apple Watch Series 9 45mm 레드 알루미늄</t>
  </si>
  <si>
    <t>AW9C-45ASBST</t>
  </si>
  <si>
    <t>Apple Watch Series 9 45mm 스타라이트 알루미늄</t>
  </si>
  <si>
    <t>AW9C-45ASBM</t>
  </si>
  <si>
    <t>Apple Watch Series 9 45mm 미드나이트 알루미늄</t>
  </si>
  <si>
    <t>AW9C-45ASBW</t>
  </si>
  <si>
    <t>Apple Watch Series 9 45mm 실버 알루미늄</t>
  </si>
  <si>
    <t>AW9C-45ASBP</t>
  </si>
  <si>
    <t>Apple Watch Series 9 45mm 핑크 알루미늄</t>
  </si>
  <si>
    <t>AW9C-45SMLS</t>
  </si>
  <si>
    <t>Apple Watch Series 9 45mm 실버 스테인리스 스틸</t>
  </si>
  <si>
    <t>AW9C-45SMLG</t>
  </si>
  <si>
    <t>Apple Watch Series 9 45mm 골드 스테인리스 스틸</t>
  </si>
  <si>
    <t>AW9C-45SMLP</t>
  </si>
  <si>
    <t>Apple Watch Series 9 45mm 그래파이트 스테인리스 스틸</t>
  </si>
  <si>
    <t>AWU2C-49TOB</t>
  </si>
  <si>
    <t>Apple Watch Ultra2 49mm 오렌지 티타늄</t>
  </si>
  <si>
    <t>AWU2C-49TAB</t>
  </si>
  <si>
    <t>Apple Watch Ultra2 49mm 블루 티타늄</t>
  </si>
  <si>
    <t>AWU2C-49TLB</t>
  </si>
  <si>
    <t>Apple Watch Ultra2 49mm 블루블랙 티타늄</t>
  </si>
  <si>
    <t>SM-L305NK</t>
  </si>
  <si>
    <t>SM-L315NK</t>
  </si>
  <si>
    <t>SM-L705NK</t>
  </si>
  <si>
    <t>갤럭시 워치 울트라</t>
  </si>
  <si>
    <t>SM-X216N0</t>
  </si>
  <si>
    <t>갤럭시 탭 A9+</t>
  </si>
  <si>
    <t>NT345XPAN0</t>
  </si>
  <si>
    <t>갤럭시북3 Go 5G</t>
  </si>
  <si>
    <t>IPADA-M2-11-128</t>
  </si>
  <si>
    <t>iPad Air 11" M2 128GB</t>
  </si>
  <si>
    <t>IPADA-M2-11-256</t>
  </si>
  <si>
    <t>iPad Air 11" M2 256GB</t>
  </si>
  <si>
    <t>IPADA-M2-11-512</t>
  </si>
  <si>
    <t>iPad Air 11" M2 512GB</t>
  </si>
  <si>
    <t>IPADA-M2-11-1T</t>
  </si>
  <si>
    <t>iPad Air 11" M2 1T</t>
  </si>
  <si>
    <t>IPADA-M2-13-128</t>
  </si>
  <si>
    <t>iPad Air 13" M2 128GB</t>
  </si>
  <si>
    <t>IPADA-M2-13-256</t>
  </si>
  <si>
    <t>iPad Air 13" M2 256GB</t>
  </si>
  <si>
    <t>IPADA-M2-13-512</t>
  </si>
  <si>
    <t>iPad Air 13" M2 512GB</t>
  </si>
  <si>
    <t>IPADA-M2-13-1T</t>
  </si>
  <si>
    <t>iPad Air 13" M2 1T</t>
  </si>
  <si>
    <t>IPADP-M4-11-256</t>
  </si>
  <si>
    <t>iPad Pro 11" M4 256GB</t>
  </si>
  <si>
    <t>IPADP-M4-11-512</t>
  </si>
  <si>
    <t>iPad Pro 11" M4 512GB</t>
  </si>
  <si>
    <t>IPADP-M4-11-1T</t>
  </si>
  <si>
    <t>iPad Pro 11" M4 1TB</t>
  </si>
  <si>
    <t>IPADP-M4-11-2T</t>
  </si>
  <si>
    <t>iPad Pro 11" M4 2TB</t>
  </si>
  <si>
    <t>IPADP-M4-13-256</t>
  </si>
  <si>
    <t>iPad Pro 13" M4 256GB</t>
  </si>
  <si>
    <t>IPADP-M4-13-512</t>
  </si>
  <si>
    <t>iPad Pro 13" M4 512GB</t>
  </si>
  <si>
    <t>IPADP-M4-13-1T</t>
  </si>
  <si>
    <t>iPad Pro 13" M4 1TB</t>
  </si>
  <si>
    <t>IPADP-M4-13-2T</t>
  </si>
  <si>
    <t>iPad Pro 13" M4 2TB</t>
  </si>
  <si>
    <t>IPADP-M4-11-1T-N</t>
  </si>
  <si>
    <t>iPad Pro 11" M4 1TB Nano TextureGlass</t>
  </si>
  <si>
    <t>IPADP-M4-11-2T-N</t>
  </si>
  <si>
    <t>iPad Pro 11" M4 2TB Nano TextureGlass</t>
  </si>
  <si>
    <t>IPADP-M4-13-1T-N</t>
  </si>
  <si>
    <t>iPad Pro 13" M4 1TB Nano TextureGlass</t>
  </si>
  <si>
    <t>IPADP-M4-13-2T-N</t>
  </si>
  <si>
    <t>iPad Pro 13" M4 2TB Nano TextureGlass</t>
  </si>
  <si>
    <t>■ 공시 지원금</t>
    <phoneticPr fontId="2" type="noConversion"/>
  </si>
  <si>
    <t>SM-F956NK</t>
    <phoneticPr fontId="2" type="noConversion"/>
  </si>
  <si>
    <t>Z Fold6</t>
    <phoneticPr fontId="2" type="noConversion"/>
  </si>
  <si>
    <t>https://online.kt.com/index.jsp?prdcID=331AE147-ADA1-4381-902E-16231FB152C7</t>
  </si>
  <si>
    <t>https://online.kt.com/index.jsp?prdcID=D14DE1CF-2CCE-4FE6-A3E3-0D283E30C400</t>
  </si>
  <si>
    <t>https://online.kt.com/index.jsp?prdcID=DB092B16-13AE-4132-875E-367872F58991</t>
  </si>
  <si>
    <t>SM-F741NK512</t>
    <phoneticPr fontId="2" type="noConversion"/>
  </si>
  <si>
    <t>Z Flip6</t>
    <phoneticPr fontId="2" type="noConversion"/>
  </si>
  <si>
    <t>https://online.kt.com/index.jsp?prdcID=9D5BFC31-DD17-4498-9D9D-967C321F918D</t>
  </si>
  <si>
    <t>https://online.kt.com/index.jsp?prdcID=5407438A-D35D-4A6F-806F-0352342A460A</t>
  </si>
  <si>
    <t>https://online.kt.com/index.jsp?prdcID=B38A5447-CDE3-458E-90E2-55FB94F25FF5</t>
  </si>
  <si>
    <t>A7(Lite), A9+, S9</t>
    <phoneticPr fontId="2" type="noConversion"/>
  </si>
  <si>
    <t>갤럭시 북3 Go 5G</t>
    <phoneticPr fontId="2" type="noConversion"/>
  </si>
  <si>
    <t>워치 울트라</t>
    <phoneticPr fontId="2" type="noConversion"/>
  </si>
  <si>
    <t>애플 워치 SE2, 7</t>
    <phoneticPr fontId="2" type="noConversion"/>
  </si>
  <si>
    <t>- 모단말 요금제 121일이상 유지조건
   단, 010신규 한정 181일 이상 유지조건
- 동일명의 당월 개통건 한정
- 폰(신규/기변 가능), 2nd(신규만가능)</t>
    <phoneticPr fontId="2" type="noConversion"/>
  </si>
  <si>
    <t>AIP16-128</t>
  </si>
  <si>
    <t>AIP16-128</t>
    <phoneticPr fontId="2" type="noConversion"/>
  </si>
  <si>
    <t>AIP16-256</t>
  </si>
  <si>
    <t>AIP16-256</t>
    <phoneticPr fontId="2" type="noConversion"/>
  </si>
  <si>
    <t>AIP16-512</t>
  </si>
  <si>
    <t>AIP16-512</t>
    <phoneticPr fontId="2" type="noConversion"/>
  </si>
  <si>
    <t>AIP16PS-128</t>
  </si>
  <si>
    <t>AIP16PS-128</t>
    <phoneticPr fontId="2" type="noConversion"/>
  </si>
  <si>
    <t>AIP16PS-256</t>
  </si>
  <si>
    <t>AIP16PS-256</t>
    <phoneticPr fontId="2" type="noConversion"/>
  </si>
  <si>
    <t>AIP16PS-512</t>
  </si>
  <si>
    <t>AIP16PS-512</t>
    <phoneticPr fontId="2" type="noConversion"/>
  </si>
  <si>
    <t>AIP16P-128</t>
  </si>
  <si>
    <t>AIP16P-256</t>
  </si>
  <si>
    <t>AIP16P-512</t>
  </si>
  <si>
    <t>AIP16PM-256</t>
  </si>
  <si>
    <t>AIP16PM-512</t>
  </si>
  <si>
    <t>AIP16P-1T</t>
  </si>
  <si>
    <t>AIP16PM-1T</t>
  </si>
  <si>
    <t>iPhone 16 128G</t>
  </si>
  <si>
    <t>iPhone 16 256G</t>
  </si>
  <si>
    <t>iPhone 16 512G</t>
  </si>
  <si>
    <t>iPhone 16 Plus 128G</t>
  </si>
  <si>
    <t>iPhone 16 Plus 256G</t>
  </si>
  <si>
    <t>iPhone 16 Plus 512G</t>
  </si>
  <si>
    <t>iPhone 16 Pro 128G</t>
  </si>
  <si>
    <t>iPhone 16 Pro 256G</t>
  </si>
  <si>
    <t>iPhone 16 Pro 512G</t>
  </si>
  <si>
    <t>iPhone 16 Pro 1T</t>
  </si>
  <si>
    <t>iPhone 16 Pro Max 256G</t>
  </si>
  <si>
    <t>iPhone 16 Pro Max 512G</t>
  </si>
  <si>
    <t>iPhone 16 Pro Max 1T</t>
  </si>
  <si>
    <t>시즌/지니 초이스 프리미엄</t>
  </si>
  <si>
    <t>에어팟 초이스 스페셜</t>
  </si>
  <si>
    <t>티빙/지니 초이스 스페셜</t>
  </si>
  <si>
    <t>시즌/지니 초이스 스페셜</t>
  </si>
  <si>
    <t>티빙/지니/밀리 초이스 프리미엄</t>
  </si>
  <si>
    <t>(유튜브 프리미엄_무료) 초이스 스페셜</t>
  </si>
  <si>
    <t>(유튜브 프리미엄_무료) 초이스 베이직</t>
  </si>
  <si>
    <t>슈퍼플랜 베이직 Plus</t>
  </si>
  <si>
    <t>시즌/지니 초이스 베이직</t>
  </si>
  <si>
    <t>티빙/지니 초이스 베이직</t>
  </si>
  <si>
    <t>티빙/밀리 초이스 베이직</t>
    <phoneticPr fontId="2" type="noConversion"/>
  </si>
  <si>
    <t>디즈니+ 초이스 베이직</t>
    <phoneticPr fontId="2" type="noConversion"/>
  </si>
  <si>
    <t>BC바로 카드 초이스 베이직</t>
    <phoneticPr fontId="2" type="noConversion"/>
  </si>
  <si>
    <t>현대카드 초이스 베이직</t>
    <phoneticPr fontId="2" type="noConversion"/>
  </si>
  <si>
    <t>우리카드 초이스 베이직</t>
    <phoneticPr fontId="2" type="noConversion"/>
  </si>
  <si>
    <t>코웨이 초이스 베이직</t>
    <phoneticPr fontId="2" type="noConversion"/>
  </si>
  <si>
    <t>삼성 초이스 베이직</t>
    <phoneticPr fontId="2" type="noConversion"/>
  </si>
  <si>
    <t>디바이스 초이스 베이직</t>
    <phoneticPr fontId="2" type="noConversion"/>
  </si>
  <si>
    <t>시즌/지니+ 초이스 베이직</t>
  </si>
  <si>
    <t>5G Y 베이직</t>
  </si>
  <si>
    <t>슬림</t>
    <phoneticPr fontId="2" type="noConversion"/>
  </si>
  <si>
    <t>5G 심플 70GB</t>
    <phoneticPr fontId="2" type="noConversion"/>
  </si>
  <si>
    <t>5G 슬림 플러스</t>
  </si>
  <si>
    <t>5G 슬림(이월) 21GB</t>
    <phoneticPr fontId="2" type="noConversion"/>
  </si>
  <si>
    <t>5G 슬림</t>
  </si>
  <si>
    <t>5G 슬림(이월) 10GB</t>
    <phoneticPr fontId="2" type="noConversion"/>
  </si>
  <si>
    <t>5G 슬림 10GB(이월)</t>
  </si>
  <si>
    <t>5G 세이브</t>
  </si>
  <si>
    <t>5G 슬림 7GB</t>
    <phoneticPr fontId="2" type="noConversion"/>
  </si>
  <si>
    <t>5G 주니어</t>
    <phoneticPr fontId="2" type="noConversion"/>
  </si>
  <si>
    <t>슬림</t>
    <phoneticPr fontId="2" type="noConversion"/>
  </si>
  <si>
    <t>5G 주니어 슬림</t>
    <phoneticPr fontId="2" type="noConversion"/>
  </si>
  <si>
    <t>세이브</t>
    <phoneticPr fontId="2" type="noConversion"/>
  </si>
  <si>
    <t>5G 시니어 베이직</t>
    <phoneticPr fontId="2" type="noConversion"/>
  </si>
  <si>
    <t>슬림플러스</t>
    <phoneticPr fontId="2" type="noConversion"/>
  </si>
  <si>
    <t>5G 시니어 A형</t>
    <phoneticPr fontId="2" type="noConversion"/>
  </si>
  <si>
    <t>5G 시니어 B형</t>
    <phoneticPr fontId="2" type="noConversion"/>
  </si>
  <si>
    <t>5G 시니어 C형</t>
    <phoneticPr fontId="2" type="noConversion"/>
  </si>
  <si>
    <t>베이직 복지</t>
    <phoneticPr fontId="2" type="noConversion"/>
  </si>
  <si>
    <t>심플 복지</t>
    <phoneticPr fontId="2" type="noConversion"/>
  </si>
  <si>
    <t>슬림 복지</t>
    <phoneticPr fontId="2" type="noConversion"/>
  </si>
  <si>
    <t>데이터투게더Watch</t>
  </si>
  <si>
    <t>5G 데이터투게더</t>
    <phoneticPr fontId="2" type="noConversion"/>
  </si>
  <si>
    <t>데이터 ON 톡 플러스</t>
  </si>
  <si>
    <t>LTE 데이터 선택 65.8</t>
  </si>
  <si>
    <t>SM-S721NK</t>
    <phoneticPr fontId="2" type="noConversion"/>
  </si>
  <si>
    <t>갤럭시S24FE(256GB)</t>
    <phoneticPr fontId="2" type="noConversion"/>
  </si>
  <si>
    <t>AIP16PM-128</t>
  </si>
  <si>
    <t>iPhone 16 Pro Max 128G</t>
  </si>
  <si>
    <t>SM-A165NK</t>
    <phoneticPr fontId="2" type="noConversion"/>
  </si>
  <si>
    <t>갤럭시 A16</t>
    <phoneticPr fontId="2" type="noConversion"/>
  </si>
  <si>
    <t>SM-A165NK</t>
    <phoneticPr fontId="2" type="noConversion"/>
  </si>
  <si>
    <t>갤럭시 A16</t>
    <phoneticPr fontId="2" type="noConversion"/>
  </si>
  <si>
    <t>SM-A165NK</t>
    <phoneticPr fontId="2" type="noConversion"/>
  </si>
  <si>
    <t>SM-A165NK</t>
    <phoneticPr fontId="2" type="noConversion"/>
  </si>
  <si>
    <t>SM-S931NK</t>
  </si>
  <si>
    <t>SM-S931NK</t>
    <phoneticPr fontId="2" type="noConversion"/>
  </si>
  <si>
    <t>SM-S936NK</t>
  </si>
  <si>
    <t>SM-S936NK</t>
    <phoneticPr fontId="2" type="noConversion"/>
  </si>
  <si>
    <t>SM-S938NK</t>
  </si>
  <si>
    <t>SM-S938NK</t>
    <phoneticPr fontId="2" type="noConversion"/>
  </si>
  <si>
    <t>SM-S931NK</t>
    <phoneticPr fontId="2" type="noConversion"/>
  </si>
  <si>
    <t>SM-S931NK512</t>
    <phoneticPr fontId="2" type="noConversion"/>
  </si>
  <si>
    <t>SM-S936NK</t>
    <phoneticPr fontId="2" type="noConversion"/>
  </si>
  <si>
    <t>SM-S936NK512</t>
    <phoneticPr fontId="2" type="noConversion"/>
  </si>
  <si>
    <t>SM-S938NK</t>
    <phoneticPr fontId="2" type="noConversion"/>
  </si>
  <si>
    <t>SM-S938NK512</t>
    <phoneticPr fontId="2" type="noConversion"/>
  </si>
  <si>
    <t>갤럭시S25 (256GB)</t>
    <phoneticPr fontId="2" type="noConversion"/>
  </si>
  <si>
    <t>갤럭시S25 (512GB)</t>
    <phoneticPr fontId="2" type="noConversion"/>
  </si>
  <si>
    <t>갤럭시S25+ (256GB)</t>
    <phoneticPr fontId="2" type="noConversion"/>
  </si>
  <si>
    <t>갤럭시S25+ (512GB)</t>
    <phoneticPr fontId="2" type="noConversion"/>
  </si>
  <si>
    <t>갤럭시S25 울트라 (256GB)</t>
    <phoneticPr fontId="2" type="noConversion"/>
  </si>
  <si>
    <t>갤럭시S25 울트라 (512GB)</t>
    <phoneticPr fontId="2" type="noConversion"/>
  </si>
  <si>
    <t>SM-S931NK</t>
    <phoneticPr fontId="2" type="noConversion"/>
  </si>
  <si>
    <t>SM-S936NK</t>
    <phoneticPr fontId="2" type="noConversion"/>
  </si>
  <si>
    <t>SM-S938NK</t>
    <phoneticPr fontId="2" type="noConversion"/>
  </si>
  <si>
    <t>갤럭시S25</t>
    <phoneticPr fontId="2" type="noConversion"/>
  </si>
  <si>
    <t>갤럭시S25+</t>
    <phoneticPr fontId="2" type="noConversion"/>
  </si>
  <si>
    <t>갤럭시S25 울트라</t>
    <phoneticPr fontId="2" type="noConversion"/>
  </si>
  <si>
    <t>AIP16E-128</t>
  </si>
  <si>
    <t>AIP16E-128</t>
    <phoneticPr fontId="2" type="noConversion"/>
  </si>
  <si>
    <t>AIP16E-256</t>
  </si>
  <si>
    <t>AIP16E-256</t>
    <phoneticPr fontId="2" type="noConversion"/>
  </si>
  <si>
    <t>AIP16E-512</t>
  </si>
  <si>
    <t>AIP16E-512</t>
    <phoneticPr fontId="2" type="noConversion"/>
  </si>
  <si>
    <t>iPhone 16e 128G</t>
  </si>
  <si>
    <t>iPhone 16e 128G</t>
    <phoneticPr fontId="2" type="noConversion"/>
  </si>
  <si>
    <t>iPhone 16e 256G</t>
  </si>
  <si>
    <t>iPhone 16e 256G</t>
    <phoneticPr fontId="2" type="noConversion"/>
  </si>
  <si>
    <t>iPhone 16e 512G</t>
  </si>
  <si>
    <t>iPhone 16e 512G</t>
    <phoneticPr fontId="2" type="noConversion"/>
  </si>
  <si>
    <t>80K이상</t>
  </si>
  <si>
    <t>61K~80K미만</t>
  </si>
  <si>
    <t>49K~61K미만</t>
  </si>
  <si>
    <t>33K~49K미만</t>
  </si>
  <si>
    <t>요금제
구간</t>
    <phoneticPr fontId="2" type="noConversion"/>
  </si>
  <si>
    <t>AIP16E-128</t>
    <phoneticPr fontId="2" type="noConversion"/>
  </si>
  <si>
    <t>49K이상</t>
    <phoneticPr fontId="2" type="noConversion"/>
  </si>
  <si>
    <t>33K~49K미만</t>
    <phoneticPr fontId="2" type="noConversion"/>
  </si>
  <si>
    <t>재고 문의필요</t>
    <phoneticPr fontId="2" type="noConversion"/>
  </si>
  <si>
    <t>SM-S937NK</t>
  </si>
  <si>
    <t>SM-S937NK</t>
    <phoneticPr fontId="2" type="noConversion"/>
  </si>
  <si>
    <t>SM-S937NK512</t>
    <phoneticPr fontId="2" type="noConversion"/>
  </si>
  <si>
    <t>SM-S937NK</t>
    <phoneticPr fontId="2" type="noConversion"/>
  </si>
  <si>
    <t>갤럭시S25 엣지 (256GB)</t>
    <phoneticPr fontId="2" type="noConversion"/>
  </si>
  <si>
    <t>갤럭시S25 엣지 (512GB)</t>
    <phoneticPr fontId="2" type="noConversion"/>
  </si>
  <si>
    <t>SM-M366K</t>
    <phoneticPr fontId="2" type="noConversion"/>
  </si>
  <si>
    <t>Galaxy Jump4</t>
    <phoneticPr fontId="2" type="noConversion"/>
  </si>
  <si>
    <t>SM-A366NK</t>
    <phoneticPr fontId="2" type="noConversion"/>
  </si>
  <si>
    <t>갤럭시 A36(5G)</t>
    <phoneticPr fontId="2" type="noConversion"/>
  </si>
  <si>
    <t>SM-M366K</t>
    <phoneticPr fontId="2" type="noConversion"/>
  </si>
  <si>
    <t>SM-A366NK</t>
    <phoneticPr fontId="2" type="noConversion"/>
  </si>
  <si>
    <t>SM-F766NK</t>
    <phoneticPr fontId="2" type="noConversion"/>
  </si>
  <si>
    <t>SM-F766NK</t>
    <phoneticPr fontId="2" type="noConversion"/>
  </si>
  <si>
    <t>SM-F766NK</t>
    <phoneticPr fontId="2" type="noConversion"/>
  </si>
  <si>
    <t>SM-F766NK512</t>
    <phoneticPr fontId="2" type="noConversion"/>
  </si>
  <si>
    <t>SM-F766NK512</t>
    <phoneticPr fontId="2" type="noConversion"/>
  </si>
  <si>
    <t>SM-F766NK512</t>
    <phoneticPr fontId="2" type="noConversion"/>
  </si>
  <si>
    <t>SM-F966NK</t>
    <phoneticPr fontId="2" type="noConversion"/>
  </si>
  <si>
    <t>SM-F966NK</t>
    <phoneticPr fontId="2" type="noConversion"/>
  </si>
  <si>
    <t>5G</t>
    <phoneticPr fontId="2" type="noConversion"/>
  </si>
  <si>
    <t>SM-F966NK</t>
    <phoneticPr fontId="2" type="noConversion"/>
  </si>
  <si>
    <t>SM-F966NK512</t>
    <phoneticPr fontId="2" type="noConversion"/>
  </si>
  <si>
    <t>SM-F966NK512</t>
    <phoneticPr fontId="2" type="noConversion"/>
  </si>
  <si>
    <t>5G</t>
    <phoneticPr fontId="2" type="noConversion"/>
  </si>
  <si>
    <t>SM-F966NK512</t>
    <phoneticPr fontId="2" type="noConversion"/>
  </si>
  <si>
    <t>SM-F966NK512</t>
    <phoneticPr fontId="2" type="noConversion"/>
  </si>
  <si>
    <t>갤럭시 Z Flip7</t>
    <phoneticPr fontId="2" type="noConversion"/>
  </si>
  <si>
    <t>SM-F766NK512</t>
    <phoneticPr fontId="2" type="noConversion"/>
  </si>
  <si>
    <t>갤럭시 Z Flip7 512GB</t>
    <phoneticPr fontId="2" type="noConversion"/>
  </si>
  <si>
    <t>갤럭시 Z Fold7</t>
    <phoneticPr fontId="2" type="noConversion"/>
  </si>
  <si>
    <t>갤럭시 Z Fold7 512GB</t>
    <phoneticPr fontId="2" type="noConversion"/>
  </si>
  <si>
    <t>SM-F766NK</t>
  </si>
  <si>
    <t>갤럭시 Z Flip7</t>
  </si>
  <si>
    <t>SM-F766NK512</t>
  </si>
  <si>
    <t>갤럭시 Z Flip7 512GB</t>
  </si>
  <si>
    <t>SM-F966NK</t>
  </si>
  <si>
    <t>갤럭시 Z Fold7</t>
  </si>
  <si>
    <t>SM-F966NK512</t>
  </si>
  <si>
    <t>갤럭시 Z Fold7 512GB</t>
  </si>
  <si>
    <t>유심</t>
    <phoneticPr fontId="2" type="noConversion"/>
  </si>
  <si>
    <t>NZA0003759</t>
    <phoneticPr fontId="2" type="noConversion"/>
  </si>
  <si>
    <t>기업무선_유심_중고(그룹사)</t>
    <phoneticPr fontId="2" type="noConversion"/>
  </si>
  <si>
    <t>유심단독</t>
    <phoneticPr fontId="2" type="noConversion"/>
  </si>
  <si>
    <t>워치 5~8</t>
    <phoneticPr fontId="2" type="noConversion"/>
  </si>
  <si>
    <t>* 대상 모델: 갤럭시 워치(S25군, 폴더블6/7, S24군, S23군, S22군, 폴더블5, 폴더블4, 폴드3 한정)</t>
    <phoneticPr fontId="2" type="noConversion"/>
  </si>
  <si>
    <t xml:space="preserve">                애플워치(아이폰 14/15 포함한 아이폰류)</t>
    <phoneticPr fontId="2" type="noConversion"/>
  </si>
  <si>
    <r>
      <t>공통지원금</t>
    </r>
    <r>
      <rPr>
        <b/>
        <sz val="20"/>
        <color theme="1" tint="0.14999847407452621"/>
        <rFont val="맑은 고딕"/>
        <family val="3"/>
        <charset val="129"/>
        <scheme val="minor"/>
      </rPr>
      <t>(확인사이트)</t>
    </r>
    <r>
      <rPr>
        <b/>
        <sz val="25"/>
        <color theme="1" tint="0.14999847407452621"/>
        <rFont val="맑은 고딕"/>
        <family val="3"/>
        <charset val="129"/>
        <scheme val="minor"/>
      </rPr>
      <t xml:space="preserve">: </t>
    </r>
    <phoneticPr fontId="2" type="noConversion"/>
  </si>
  <si>
    <t>공통지원금 | 휴대폰지원금 | KT</t>
  </si>
  <si>
    <t>AIP17-256</t>
  </si>
  <si>
    <t>AIP17-256</t>
    <phoneticPr fontId="2" type="noConversion"/>
  </si>
  <si>
    <t>AIP17-512</t>
  </si>
  <si>
    <t>AIP17-512</t>
    <phoneticPr fontId="2" type="noConversion"/>
  </si>
  <si>
    <t>AIPA-256</t>
  </si>
  <si>
    <t>AIPA-256</t>
    <phoneticPr fontId="2" type="noConversion"/>
  </si>
  <si>
    <t>AIPA-512</t>
  </si>
  <si>
    <t>AIPA-512</t>
    <phoneticPr fontId="2" type="noConversion"/>
  </si>
  <si>
    <t>AIPA-1T</t>
  </si>
  <si>
    <t>AIPA-1T</t>
    <phoneticPr fontId="2" type="noConversion"/>
  </si>
  <si>
    <t>iPhone Air 256GB</t>
  </si>
  <si>
    <t>iPhone Air 512GB</t>
  </si>
  <si>
    <t>iPhone Air 1TB</t>
  </si>
  <si>
    <t>iPhone 17 256GB</t>
  </si>
  <si>
    <t>iPhone 17 512GB</t>
  </si>
  <si>
    <t>AIP17P-256</t>
  </si>
  <si>
    <t>AIP17P-256</t>
    <phoneticPr fontId="2" type="noConversion"/>
  </si>
  <si>
    <t>AIP17P-512</t>
  </si>
  <si>
    <t>AIP17P-512</t>
    <phoneticPr fontId="2" type="noConversion"/>
  </si>
  <si>
    <t>AIP17P-1T</t>
  </si>
  <si>
    <t>AIP17P-1T</t>
    <phoneticPr fontId="2" type="noConversion"/>
  </si>
  <si>
    <t>iPhone 17 Pro 256GB</t>
  </si>
  <si>
    <t>iPhone 17 Pro 512GB</t>
  </si>
  <si>
    <t>iPhone 17 Pro 1TB</t>
  </si>
  <si>
    <t>iPhone 17 Pro Max 256GB</t>
  </si>
  <si>
    <t>iPhone 17 Pro Max 512GB</t>
  </si>
  <si>
    <t>iPhone 17 Pro Max 1TB</t>
  </si>
  <si>
    <t>iPhone 17 Pro Max 2TB</t>
  </si>
  <si>
    <t>AIP17PM-256</t>
  </si>
  <si>
    <t>AIP17PM-256</t>
    <phoneticPr fontId="2" type="noConversion"/>
  </si>
  <si>
    <t>AIP17PM-512</t>
  </si>
  <si>
    <t>AIP17PM-512</t>
    <phoneticPr fontId="2" type="noConversion"/>
  </si>
  <si>
    <t>AIP17PM-1T</t>
  </si>
  <si>
    <t>AIP17PM-1T</t>
    <phoneticPr fontId="2" type="noConversion"/>
  </si>
  <si>
    <t>AIP17PM-2T</t>
  </si>
  <si>
    <t>AIP17PM-2T</t>
    <phoneticPr fontId="2" type="noConversion"/>
  </si>
  <si>
    <t>61K~69K미만</t>
  </si>
  <si>
    <t>SM-S731NK</t>
  </si>
  <si>
    <t>SM-S731NK</t>
    <phoneticPr fontId="2" type="noConversion"/>
  </si>
  <si>
    <t>갤럭시S25FE</t>
    <phoneticPr fontId="2" type="noConversion"/>
  </si>
  <si>
    <t>SM-S721NK</t>
    <phoneticPr fontId="2" type="noConversion"/>
  </si>
  <si>
    <t>갤럭시S24FE</t>
    <phoneticPr fontId="2" type="noConversion"/>
  </si>
  <si>
    <t>갤럭시S25FE(256GB)</t>
    <phoneticPr fontId="2" type="noConversion"/>
  </si>
  <si>
    <t>SM-S731NK</t>
    <phoneticPr fontId="2" type="noConversion"/>
  </si>
  <si>
    <t>SM-S731NK</t>
    <phoneticPr fontId="2" type="noConversion"/>
  </si>
  <si>
    <t>공통지원금, 요금할인 개통가능</t>
    <phoneticPr fontId="2" type="noConversion"/>
  </si>
  <si>
    <t>LTE 모델 공용(A16제외)</t>
    <phoneticPr fontId="2" type="noConversion"/>
  </si>
  <si>
    <t>SM-A175NK-KP</t>
    <phoneticPr fontId="2" type="noConversion"/>
  </si>
  <si>
    <t>폼폼푸린 키즈폰</t>
  </si>
  <si>
    <t>SM-A165NK-KP</t>
    <phoneticPr fontId="2" type="noConversion"/>
  </si>
  <si>
    <t>포차코 키즈폰</t>
    <phoneticPr fontId="2" type="noConversion"/>
  </si>
  <si>
    <t>SM-A175NK</t>
    <phoneticPr fontId="2" type="noConversion"/>
  </si>
  <si>
    <t>갤럭시 A17</t>
    <phoneticPr fontId="2" type="noConversion"/>
  </si>
  <si>
    <t>모토로라</t>
    <phoneticPr fontId="2" type="noConversion"/>
  </si>
  <si>
    <t>XT2429-2K</t>
    <phoneticPr fontId="2" type="noConversion"/>
  </si>
  <si>
    <t>XT2529-2K</t>
    <phoneticPr fontId="2" type="noConversion"/>
  </si>
  <si>
    <t>XT2363-3K</t>
    <phoneticPr fontId="2" type="noConversion"/>
  </si>
  <si>
    <t>엣지50퓨전</t>
    <phoneticPr fontId="2" type="noConversion"/>
  </si>
  <si>
    <t>Moto G56 5G</t>
    <phoneticPr fontId="2" type="noConversion"/>
  </si>
  <si>
    <t>G34 5G</t>
    <phoneticPr fontId="2" type="noConversion"/>
  </si>
  <si>
    <t>샤오미</t>
    <phoneticPr fontId="2" type="noConversion"/>
  </si>
  <si>
    <t>레노미</t>
    <phoneticPr fontId="2" type="noConversion"/>
  </si>
  <si>
    <t>레노미</t>
    <phoneticPr fontId="2" type="noConversion"/>
  </si>
  <si>
    <t>레노미</t>
    <phoneticPr fontId="2" type="noConversion"/>
  </si>
  <si>
    <t>MI-XM14TK</t>
    <phoneticPr fontId="2" type="noConversion"/>
  </si>
  <si>
    <t>MI-RMN14K</t>
    <phoneticPr fontId="2" type="noConversion"/>
  </si>
  <si>
    <t>MI-RMN14P5GK</t>
    <phoneticPr fontId="2" type="noConversion"/>
  </si>
  <si>
    <t>MI-RMN14P5GK512</t>
    <phoneticPr fontId="2" type="noConversion"/>
  </si>
  <si>
    <t>샤오미14T</t>
    <phoneticPr fontId="2" type="noConversion"/>
  </si>
  <si>
    <t>레드미노트 14 프로5G</t>
    <phoneticPr fontId="2" type="noConversion"/>
  </si>
  <si>
    <t>레드미노트 14 5G</t>
    <phoneticPr fontId="2" type="noConversion"/>
  </si>
  <si>
    <t>레드미노트 14 프로5G 512</t>
    <phoneticPr fontId="2" type="noConversion"/>
  </si>
  <si>
    <t>SM-A175NK</t>
    <phoneticPr fontId="2" type="noConversion"/>
  </si>
  <si>
    <t>SM-S937N0</t>
    <phoneticPr fontId="2" type="noConversion"/>
  </si>
  <si>
    <t>SM-S937N0512</t>
    <phoneticPr fontId="2" type="noConversion"/>
  </si>
  <si>
    <t>갤럭시S25 엣지_ONE</t>
    <phoneticPr fontId="2" type="noConversion"/>
  </si>
  <si>
    <t>갤럭시S25 엣지 512GB_ONE</t>
    <phoneticPr fontId="2" type="noConversion"/>
  </si>
  <si>
    <t>SM-S731N0</t>
    <phoneticPr fontId="2" type="noConversion"/>
  </si>
  <si>
    <t>갤럭시S25FE_ONE</t>
    <phoneticPr fontId="2" type="noConversion"/>
  </si>
  <si>
    <t>단말기</t>
    <phoneticPr fontId="2" type="noConversion"/>
  </si>
  <si>
    <t>최초 구매가</t>
    <phoneticPr fontId="2" type="noConversion"/>
  </si>
  <si>
    <t>할인</t>
    <phoneticPr fontId="2" type="noConversion"/>
  </si>
  <si>
    <t>공시할인</t>
    <phoneticPr fontId="2" type="noConversion"/>
  </si>
  <si>
    <t>최종 구매가</t>
    <phoneticPr fontId="2" type="noConversion"/>
  </si>
  <si>
    <t>요금</t>
    <phoneticPr fontId="2" type="noConversion"/>
  </si>
  <si>
    <t>Y베이직</t>
    <phoneticPr fontId="2" type="noConversion"/>
  </si>
  <si>
    <t>월납부</t>
    <phoneticPr fontId="2" type="noConversion"/>
  </si>
  <si>
    <t>최종납부</t>
    <phoneticPr fontId="2" type="noConversion"/>
  </si>
  <si>
    <t>최초6개월</t>
    <phoneticPr fontId="2" type="noConversion"/>
  </si>
  <si>
    <t>이후 18개월</t>
    <phoneticPr fontId="2" type="noConversion"/>
  </si>
  <si>
    <t>단말</t>
    <phoneticPr fontId="2" type="noConversion"/>
  </si>
  <si>
    <t>요금(Y베이직)</t>
    <phoneticPr fontId="2" type="noConversion"/>
  </si>
  <si>
    <t>단말</t>
    <phoneticPr fontId="2" type="noConversion"/>
  </si>
  <si>
    <t>요금(슬림14G)</t>
    <phoneticPr fontId="2" type="noConversion"/>
  </si>
  <si>
    <t>총납부(24개월)</t>
    <phoneticPr fontId="2" type="noConversion"/>
  </si>
  <si>
    <t>공시개통</t>
    <phoneticPr fontId="2" type="noConversion"/>
  </si>
  <si>
    <t>요할개통</t>
    <phoneticPr fontId="2" type="noConversion"/>
  </si>
  <si>
    <t>갤럭시S24 울트라 256G</t>
    <phoneticPr fontId="2" type="noConversion"/>
  </si>
  <si>
    <t>아이폰16E 128G</t>
    <phoneticPr fontId="2" type="noConversion"/>
  </si>
  <si>
    <t>Y틴</t>
    <phoneticPr fontId="2" type="noConversion"/>
  </si>
  <si>
    <t>요금(Y틴)</t>
    <phoneticPr fontId="2" type="noConversion"/>
  </si>
  <si>
    <t>24개월 동일</t>
    <phoneticPr fontId="2" type="noConversion"/>
  </si>
  <si>
    <t>AIP17E-256</t>
  </si>
  <si>
    <t>AIP17E-512</t>
  </si>
  <si>
    <t>AIP17E-256</t>
    <phoneticPr fontId="2" type="noConversion"/>
  </si>
  <si>
    <t>AIP17E-512</t>
    <phoneticPr fontId="2" type="noConversion"/>
  </si>
  <si>
    <t>iPhone 17e 256GB</t>
    <phoneticPr fontId="2" type="noConversion"/>
  </si>
  <si>
    <t>iPhone 17e 512GB</t>
    <phoneticPr fontId="2" type="noConversion"/>
  </si>
  <si>
    <t>SM-S948NK</t>
    <phoneticPr fontId="2" type="noConversion"/>
  </si>
  <si>
    <t>SM-S948NK512</t>
    <phoneticPr fontId="2" type="noConversion"/>
  </si>
  <si>
    <t>갤럭시S26 (512GB)</t>
  </si>
  <si>
    <t>갤럭시S26+ (512GB)</t>
  </si>
  <si>
    <t>갤럭시S26 울트라 (512GB)</t>
  </si>
  <si>
    <t>갤럭시S26 울트라 (256GB)</t>
    <phoneticPr fontId="2" type="noConversion"/>
  </si>
  <si>
    <t>SM-S947NK512</t>
    <phoneticPr fontId="2" type="noConversion"/>
  </si>
  <si>
    <t>SM-S947NK</t>
    <phoneticPr fontId="2" type="noConversion"/>
  </si>
  <si>
    <t>SM-S942NK</t>
    <phoneticPr fontId="2" type="noConversion"/>
  </si>
  <si>
    <t>SM-S942NK512</t>
    <phoneticPr fontId="2" type="noConversion"/>
  </si>
  <si>
    <t>갤럭시S26 (256GB)</t>
    <phoneticPr fontId="2" type="noConversion"/>
  </si>
  <si>
    <t>갤럭시S26+ (256GB)</t>
    <phoneticPr fontId="2" type="noConversion"/>
  </si>
  <si>
    <t>SM-S942NK</t>
    <phoneticPr fontId="2" type="noConversion"/>
  </si>
  <si>
    <t>SM-S947NK</t>
    <phoneticPr fontId="2" type="noConversion"/>
  </si>
  <si>
    <t>SM-S948NK</t>
    <phoneticPr fontId="2" type="noConversion"/>
  </si>
  <si>
    <t>SM-A175NK-KP</t>
  </si>
  <si>
    <t>SM-A165NK-KP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</si>
</sst>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_);[Red]\(#,##0\)"/>
    <numFmt numFmtId="177" formatCode="mm&quot;월&quot;\ dd&quot;일&quot;"/>
  </numFmts>
  <fonts count="8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8"/>
      <name val="돋움"/>
      <family val="3"/>
      <charset val="129"/>
    </font>
    <font>
      <b/>
      <sz val="11"/>
      <color indexed="63"/>
      <name val="맑은 고딕"/>
      <family val="3"/>
      <charset val="129"/>
    </font>
    <font>
      <b/>
      <sz val="10"/>
      <color indexed="63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name val="맑은 고딕"/>
      <family val="3"/>
      <charset val="129"/>
    </font>
    <font>
      <b/>
      <sz val="12"/>
      <name val="맑은 고딕"/>
      <family val="3"/>
      <charset val="129"/>
    </font>
    <font>
      <sz val="12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11"/>
      <name val="맑은 고딕"/>
      <family val="2"/>
      <charset val="129"/>
      <scheme val="minor"/>
    </font>
    <font>
      <sz val="11"/>
      <color theme="0" tint="-4.9989318521683403E-2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6"/>
      <color rgb="FFFF000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24"/>
      <name val="맑은 고딕"/>
      <family val="3"/>
      <charset val="129"/>
      <scheme val="minor"/>
    </font>
    <font>
      <sz val="24"/>
      <color rgb="FFFF0000"/>
      <name val="맑은 고딕"/>
      <family val="3"/>
      <charset val="129"/>
      <scheme val="minor"/>
    </font>
    <font>
      <b/>
      <sz val="24"/>
      <color rgb="FFFF0000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  <font>
      <sz val="24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u/>
      <sz val="25"/>
      <color theme="10"/>
      <name val="맑은 고딕"/>
      <family val="2"/>
      <charset val="129"/>
      <scheme val="minor"/>
    </font>
    <font>
      <b/>
      <sz val="14"/>
      <color indexed="8"/>
      <name val="맑은 고딕"/>
      <family val="3"/>
      <charset val="129"/>
      <scheme val="minor"/>
    </font>
    <font>
      <b/>
      <sz val="14"/>
      <color theme="1" tint="0.14999847407452621"/>
      <name val="맑은 고딕"/>
      <family val="3"/>
      <charset val="129"/>
      <scheme val="minor"/>
    </font>
    <font>
      <sz val="13"/>
      <color rgb="FFFF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2"/>
      <color rgb="FFC00000"/>
      <name val="맑은 고딕"/>
      <family val="3"/>
      <charset val="129"/>
      <scheme val="minor"/>
    </font>
    <font>
      <b/>
      <sz val="12"/>
      <color theme="1" tint="0.34998626667073579"/>
      <name val="맑은 고딕"/>
      <family val="3"/>
      <charset val="129"/>
      <scheme val="minor"/>
    </font>
    <font>
      <sz val="12"/>
      <color theme="0"/>
      <name val="맑은 고딕"/>
      <family val="3"/>
      <charset val="129"/>
      <scheme val="minor"/>
    </font>
    <font>
      <sz val="12"/>
      <color theme="0" tint="-4.9989318521683403E-2"/>
      <name val="맑은 고딕"/>
      <family val="3"/>
      <charset val="129"/>
      <scheme val="minor"/>
    </font>
    <font>
      <b/>
      <sz val="16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6"/>
      <color rgb="FF00000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0"/>
      <color rgb="FF3333FF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1"/>
      <color theme="1"/>
      <name val="KT서체 Light"/>
      <family val="3"/>
      <charset val="129"/>
    </font>
    <font>
      <sz val="11"/>
      <color theme="1"/>
      <name val="KT서체 Light"/>
      <family val="3"/>
      <charset val="129"/>
    </font>
    <font>
      <b/>
      <sz val="12"/>
      <color theme="1" tint="0.14999847407452621"/>
      <name val="맑은 고딕"/>
      <family val="3"/>
      <charset val="129"/>
      <scheme val="minor"/>
    </font>
    <font>
      <b/>
      <sz val="25"/>
      <color theme="1" tint="0.1499984740745262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b/>
      <sz val="12"/>
      <color theme="1" tint="0.249977111117893"/>
      <name val="맑은 고딕"/>
      <family val="3"/>
      <charset val="129"/>
      <scheme val="minor"/>
    </font>
    <font>
      <b/>
      <sz val="13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6"/>
      <color rgb="FF3333FF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3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u/>
      <sz val="20"/>
      <color theme="10"/>
      <name val="맑은 고딕"/>
      <family val="2"/>
      <charset val="129"/>
      <scheme val="minor"/>
    </font>
    <font>
      <sz val="12"/>
      <color indexed="8"/>
      <name val="맑은 고딕"/>
      <family val="3"/>
      <charset val="129"/>
      <scheme val="minor"/>
    </font>
    <font>
      <u/>
      <sz val="12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20"/>
      <color theme="1" tint="0.14999847407452621"/>
      <name val="맑은 고딕"/>
      <family val="3"/>
      <charset val="129"/>
      <scheme val="minor"/>
    </font>
    <font>
      <u/>
      <sz val="20"/>
      <color rgb="FFFF0000"/>
      <name val="맑은 고딕"/>
      <family val="2"/>
      <charset val="129"/>
      <scheme val="minor"/>
    </font>
    <font>
      <b/>
      <u/>
      <sz val="20"/>
      <color rgb="FFFF0000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33BDA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00C0AA"/>
        <bgColor indexed="64"/>
      </patternFill>
    </fill>
    <fill>
      <patternFill patternType="solid">
        <fgColor theme="7" tint="0.79998168889431442"/>
        <bgColor indexed="64"/>
      </patternFill>
    </fill>
  </fills>
  <borders count="10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14996795556505021"/>
      </left>
      <right style="thin">
        <color theme="1" tint="0.14996795556505021"/>
      </right>
      <top style="hair">
        <color theme="1" tint="0.14996795556505021"/>
      </top>
      <bottom style="hair">
        <color theme="1" tint="0.14996795556505021"/>
      </bottom>
      <diagonal/>
    </border>
    <border>
      <left style="thin">
        <color theme="1" tint="0.14993743705557422"/>
      </left>
      <right style="thin">
        <color theme="1" tint="0.14993743705557422"/>
      </right>
      <top style="thin">
        <color theme="1" tint="0.14993743705557422"/>
      </top>
      <bottom style="thin">
        <color theme="1" tint="0.14993743705557422"/>
      </bottom>
      <diagonal/>
    </border>
    <border>
      <left style="thin">
        <color theme="1" tint="0.14996795556505021"/>
      </left>
      <right style="thin">
        <color theme="1" tint="0.14996795556505021"/>
      </right>
      <top/>
      <bottom style="hair">
        <color theme="1" tint="0.14996795556505021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theme="1" tint="0.14996795556505021"/>
      </left>
      <right style="thin">
        <color theme="1" tint="0.14996795556505021"/>
      </right>
      <top style="hair">
        <color theme="1" tint="0.14996795556505021"/>
      </top>
      <bottom style="thin">
        <color theme="1" tint="0.14993743705557422"/>
      </bottom>
      <diagonal/>
    </border>
    <border>
      <left style="thin">
        <color theme="1" tint="0.14996795556505021"/>
      </left>
      <right style="thin">
        <color theme="1" tint="0.14996795556505021"/>
      </right>
      <top style="thin">
        <color theme="1" tint="0.14993743705557422"/>
      </top>
      <bottom style="thin">
        <color theme="1" tint="0.14993743705557422"/>
      </bottom>
      <diagonal/>
    </border>
    <border>
      <left style="thin">
        <color theme="1" tint="0.14996795556505021"/>
      </left>
      <right style="thin">
        <color theme="1" tint="0.14996795556505021"/>
      </right>
      <top style="thin">
        <color theme="1" tint="0.14993743705557422"/>
      </top>
      <bottom style="hair">
        <color theme="1" tint="0.1499679555650502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418">
    <xf numFmtId="0" fontId="0" fillId="0" borderId="0" xfId="0">
      <alignment vertical="center"/>
    </xf>
    <xf numFmtId="0" fontId="3" fillId="0" borderId="0" xfId="0" applyFont="1">
      <alignment vertical="center"/>
    </xf>
    <xf numFmtId="0" fontId="7" fillId="0" borderId="0" xfId="0" applyFont="1">
      <alignment vertical="center"/>
    </xf>
    <xf numFmtId="0" fontId="13" fillId="6" borderId="1" xfId="0" applyFont="1" applyFill="1" applyBorder="1" applyAlignment="1">
      <alignment horizontal="center" vertical="center" wrapText="1"/>
    </xf>
    <xf numFmtId="0" fontId="14" fillId="6" borderId="5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4" fillId="6" borderId="29" xfId="0" applyFont="1" applyFill="1" applyBorder="1" applyAlignment="1">
      <alignment horizontal="center" vertical="center" wrapText="1"/>
    </xf>
    <xf numFmtId="49" fontId="16" fillId="0" borderId="1" xfId="1" applyNumberFormat="1" applyFont="1" applyFill="1" applyBorder="1" applyAlignment="1">
      <alignment horizontal="center" vertical="center"/>
    </xf>
    <xf numFmtId="49" fontId="10" fillId="0" borderId="1" xfId="1" applyNumberFormat="1" applyFont="1" applyFill="1" applyBorder="1" applyAlignment="1">
      <alignment horizontal="center" vertical="center"/>
    </xf>
    <xf numFmtId="41" fontId="15" fillId="0" borderId="10" xfId="1" applyFont="1" applyFill="1" applyBorder="1" applyAlignment="1">
      <alignment horizontal="center" vertical="center" wrapText="1"/>
    </xf>
    <xf numFmtId="41" fontId="17" fillId="0" borderId="1" xfId="1" applyFont="1" applyFill="1" applyBorder="1" applyAlignment="1">
      <alignment horizontal="center" vertical="center" wrapText="1"/>
    </xf>
    <xf numFmtId="41" fontId="18" fillId="0" borderId="30" xfId="1" applyFont="1" applyFill="1" applyBorder="1" applyAlignment="1">
      <alignment horizontal="center" vertical="center" wrapText="1"/>
    </xf>
    <xf numFmtId="41" fontId="0" fillId="0" borderId="0" xfId="0" applyNumberFormat="1">
      <alignment vertical="center"/>
    </xf>
    <xf numFmtId="41" fontId="19" fillId="2" borderId="10" xfId="1" applyFont="1" applyFill="1" applyBorder="1" applyAlignment="1">
      <alignment horizontal="center" vertical="center" wrapText="1"/>
    </xf>
    <xf numFmtId="41" fontId="18" fillId="2" borderId="30" xfId="1" applyFont="1" applyFill="1" applyBorder="1" applyAlignment="1">
      <alignment horizontal="center" vertical="center" wrapText="1"/>
    </xf>
    <xf numFmtId="49" fontId="16" fillId="0" borderId="31" xfId="1" applyNumberFormat="1" applyFont="1" applyFill="1" applyBorder="1" applyAlignment="1">
      <alignment horizontal="center" vertical="center"/>
    </xf>
    <xf numFmtId="49" fontId="10" fillId="0" borderId="31" xfId="1" applyNumberFormat="1" applyFont="1" applyFill="1" applyBorder="1" applyAlignment="1">
      <alignment horizontal="center" vertical="center"/>
    </xf>
    <xf numFmtId="41" fontId="19" fillId="2" borderId="32" xfId="1" applyFont="1" applyFill="1" applyBorder="1" applyAlignment="1">
      <alignment horizontal="center" vertical="center" wrapText="1"/>
    </xf>
    <xf numFmtId="41" fontId="17" fillId="0" borderId="31" xfId="1" applyFont="1" applyFill="1" applyBorder="1" applyAlignment="1">
      <alignment horizontal="center" vertical="center" wrapText="1"/>
    </xf>
    <xf numFmtId="41" fontId="18" fillId="2" borderId="33" xfId="1" applyFont="1" applyFill="1" applyBorder="1" applyAlignment="1">
      <alignment horizontal="center" vertical="center" wrapText="1"/>
    </xf>
    <xf numFmtId="49" fontId="16" fillId="0" borderId="3" xfId="1" applyNumberFormat="1" applyFont="1" applyFill="1" applyBorder="1" applyAlignment="1">
      <alignment horizontal="center" vertical="center"/>
    </xf>
    <xf numFmtId="49" fontId="10" fillId="0" borderId="3" xfId="1" applyNumberFormat="1" applyFont="1" applyFill="1" applyBorder="1" applyAlignment="1">
      <alignment horizontal="center" vertical="center"/>
    </xf>
    <xf numFmtId="41" fontId="15" fillId="0" borderId="5" xfId="1" applyFont="1" applyFill="1" applyBorder="1" applyAlignment="1">
      <alignment horizontal="center" vertical="center" wrapText="1"/>
    </xf>
    <xf numFmtId="41" fontId="17" fillId="0" borderId="3" xfId="1" applyFont="1" applyFill="1" applyBorder="1" applyAlignment="1">
      <alignment horizontal="center" vertical="center" wrapText="1"/>
    </xf>
    <xf numFmtId="41" fontId="18" fillId="0" borderId="29" xfId="1" applyFont="1" applyFill="1" applyBorder="1" applyAlignment="1">
      <alignment horizontal="center" vertical="center" wrapText="1"/>
    </xf>
    <xf numFmtId="41" fontId="8" fillId="0" borderId="1" xfId="1" applyFont="1" applyFill="1" applyBorder="1" applyAlignment="1">
      <alignment horizontal="center" vertical="center"/>
    </xf>
    <xf numFmtId="41" fontId="9" fillId="0" borderId="1" xfId="1" applyFont="1" applyFill="1" applyBorder="1" applyAlignment="1">
      <alignment horizontal="center" vertical="center"/>
    </xf>
    <xf numFmtId="41" fontId="8" fillId="0" borderId="2" xfId="1" applyFont="1" applyFill="1" applyBorder="1" applyAlignment="1">
      <alignment horizontal="center" vertical="center"/>
    </xf>
    <xf numFmtId="41" fontId="9" fillId="0" borderId="2" xfId="1" applyFont="1" applyFill="1" applyBorder="1" applyAlignment="1">
      <alignment horizontal="center" vertical="center"/>
    </xf>
    <xf numFmtId="41" fontId="15" fillId="0" borderId="6" xfId="1" applyFont="1" applyFill="1" applyBorder="1" applyAlignment="1">
      <alignment horizontal="center" vertical="center" wrapText="1"/>
    </xf>
    <xf numFmtId="41" fontId="17" fillId="0" borderId="2" xfId="1" applyFont="1" applyFill="1" applyBorder="1" applyAlignment="1">
      <alignment horizontal="center" vertical="center" wrapText="1"/>
    </xf>
    <xf numFmtId="41" fontId="18" fillId="0" borderId="34" xfId="1" applyFont="1" applyFill="1" applyBorder="1" applyAlignment="1">
      <alignment horizontal="center" vertical="center" wrapText="1"/>
    </xf>
    <xf numFmtId="41" fontId="15" fillId="0" borderId="1" xfId="1" applyFont="1" applyFill="1" applyBorder="1" applyAlignment="1">
      <alignment horizontal="center" vertical="center" wrapText="1"/>
    </xf>
    <xf numFmtId="49" fontId="10" fillId="0" borderId="10" xfId="1" applyNumberFormat="1" applyFont="1" applyFill="1" applyBorder="1" applyAlignment="1">
      <alignment horizontal="center" vertical="center"/>
    </xf>
    <xf numFmtId="41" fontId="15" fillId="2" borderId="10" xfId="1" applyFont="1" applyFill="1" applyBorder="1" applyAlignment="1">
      <alignment horizontal="center" vertical="center" wrapText="1"/>
    </xf>
    <xf numFmtId="41" fontId="15" fillId="2" borderId="32" xfId="1" applyFont="1" applyFill="1" applyBorder="1" applyAlignment="1">
      <alignment horizontal="center" vertical="center" wrapText="1"/>
    </xf>
    <xf numFmtId="41" fontId="15" fillId="0" borderId="31" xfId="1" applyFont="1" applyFill="1" applyBorder="1" applyAlignment="1">
      <alignment horizontal="center" vertical="center" wrapText="1"/>
    </xf>
    <xf numFmtId="41" fontId="0" fillId="0" borderId="1" xfId="0" applyNumberFormat="1" applyBorder="1">
      <alignment vertical="center"/>
    </xf>
    <xf numFmtId="41" fontId="0" fillId="2" borderId="1" xfId="0" applyNumberFormat="1" applyFill="1" applyBorder="1">
      <alignment vertical="center"/>
    </xf>
    <xf numFmtId="0" fontId="0" fillId="2" borderId="0" xfId="0" applyFill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41" fontId="0" fillId="7" borderId="1" xfId="0" applyNumberFormat="1" applyFill="1" applyBorder="1">
      <alignment vertical="center"/>
    </xf>
    <xf numFmtId="0" fontId="0" fillId="0" borderId="0" xfId="0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41" fontId="0" fillId="2" borderId="3" xfId="0" applyNumberFormat="1" applyFill="1" applyBorder="1">
      <alignment vertical="center"/>
    </xf>
    <xf numFmtId="41" fontId="0" fillId="2" borderId="0" xfId="0" applyNumberFormat="1" applyFill="1">
      <alignment vertical="center"/>
    </xf>
    <xf numFmtId="0" fontId="0" fillId="2" borderId="28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41" fontId="0" fillId="0" borderId="7" xfId="0" applyNumberFormat="1" applyBorder="1">
      <alignment vertical="center"/>
    </xf>
    <xf numFmtId="41" fontId="0" fillId="0" borderId="13" xfId="0" applyNumberFormat="1" applyBorder="1">
      <alignment vertical="center"/>
    </xf>
    <xf numFmtId="41" fontId="0" fillId="0" borderId="35" xfId="0" applyNumberFormat="1" applyBorder="1">
      <alignment vertical="center"/>
    </xf>
    <xf numFmtId="41" fontId="0" fillId="0" borderId="31" xfId="0" applyNumberFormat="1" applyBorder="1">
      <alignment vertical="center"/>
    </xf>
    <xf numFmtId="41" fontId="0" fillId="0" borderId="36" xfId="0" applyNumberFormat="1" applyBorder="1">
      <alignment vertical="center"/>
    </xf>
    <xf numFmtId="0" fontId="4" fillId="2" borderId="0" xfId="0" applyFont="1" applyFill="1">
      <alignment vertical="center"/>
    </xf>
    <xf numFmtId="0" fontId="21" fillId="7" borderId="40" xfId="0" applyFont="1" applyFill="1" applyBorder="1" applyAlignment="1">
      <alignment horizontal="center" vertical="center"/>
    </xf>
    <xf numFmtId="41" fontId="4" fillId="7" borderId="18" xfId="0" applyNumberFormat="1" applyFont="1" applyFill="1" applyBorder="1">
      <alignment vertical="center"/>
    </xf>
    <xf numFmtId="41" fontId="4" fillId="7" borderId="3" xfId="0" applyNumberFormat="1" applyFont="1" applyFill="1" applyBorder="1">
      <alignment vertical="center"/>
    </xf>
    <xf numFmtId="41" fontId="4" fillId="7" borderId="15" xfId="0" applyNumberFormat="1" applyFont="1" applyFill="1" applyBorder="1">
      <alignment vertical="center"/>
    </xf>
    <xf numFmtId="0" fontId="4" fillId="7" borderId="28" xfId="0" applyFont="1" applyFill="1" applyBorder="1" applyAlignment="1">
      <alignment horizontal="center" vertical="center"/>
    </xf>
    <xf numFmtId="41" fontId="4" fillId="7" borderId="7" xfId="0" applyNumberFormat="1" applyFont="1" applyFill="1" applyBorder="1">
      <alignment vertical="center"/>
    </xf>
    <xf numFmtId="41" fontId="4" fillId="7" borderId="1" xfId="0" applyNumberFormat="1" applyFont="1" applyFill="1" applyBorder="1">
      <alignment vertical="center"/>
    </xf>
    <xf numFmtId="41" fontId="4" fillId="7" borderId="13" xfId="0" applyNumberFormat="1" applyFont="1" applyFill="1" applyBorder="1">
      <alignment vertical="center"/>
    </xf>
    <xf numFmtId="41" fontId="0" fillId="7" borderId="3" xfId="0" applyNumberFormat="1" applyFill="1" applyBorder="1">
      <alignment vertical="center"/>
    </xf>
    <xf numFmtId="0" fontId="22" fillId="0" borderId="0" xfId="0" applyFont="1">
      <alignment vertical="center"/>
    </xf>
    <xf numFmtId="41" fontId="0" fillId="0" borderId="0" xfId="1" applyFont="1">
      <alignment vertical="center"/>
    </xf>
    <xf numFmtId="0" fontId="23" fillId="0" borderId="0" xfId="0" applyFont="1">
      <alignment vertical="center"/>
    </xf>
    <xf numFmtId="0" fontId="4" fillId="0" borderId="0" xfId="0" applyFont="1">
      <alignment vertical="center"/>
    </xf>
    <xf numFmtId="0" fontId="25" fillId="0" borderId="0" xfId="0" applyFont="1">
      <alignment vertical="center"/>
    </xf>
    <xf numFmtId="0" fontId="28" fillId="0" borderId="0" xfId="0" applyFont="1">
      <alignment vertical="center"/>
    </xf>
    <xf numFmtId="41" fontId="28" fillId="0" borderId="0" xfId="1" applyFont="1" applyFill="1">
      <alignment vertical="center"/>
    </xf>
    <xf numFmtId="41" fontId="29" fillId="0" borderId="0" xfId="1" applyFont="1" applyFill="1" applyAlignment="1">
      <alignment horizontal="center"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27" fillId="0" borderId="0" xfId="0" applyFont="1">
      <alignment vertical="center"/>
    </xf>
    <xf numFmtId="0" fontId="2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1" fontId="32" fillId="0" borderId="0" xfId="1" applyFont="1" applyFill="1" applyAlignment="1">
      <alignment horizontal="center" vertical="center"/>
    </xf>
    <xf numFmtId="0" fontId="35" fillId="0" borderId="0" xfId="0" applyFont="1">
      <alignment vertical="center"/>
    </xf>
    <xf numFmtId="0" fontId="25" fillId="2" borderId="0" xfId="0" applyFont="1" applyFill="1">
      <alignment vertical="center"/>
    </xf>
    <xf numFmtId="0" fontId="34" fillId="2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>
      <alignment vertical="center"/>
    </xf>
    <xf numFmtId="0" fontId="37" fillId="2" borderId="43" xfId="0" applyFont="1" applyFill="1" applyBorder="1" applyAlignment="1">
      <alignment horizontal="center" vertical="center"/>
    </xf>
    <xf numFmtId="0" fontId="37" fillId="2" borderId="8" xfId="0" applyFont="1" applyFill="1" applyBorder="1" applyAlignment="1">
      <alignment horizontal="center" vertical="center"/>
    </xf>
    <xf numFmtId="0" fontId="38" fillId="2" borderId="8" xfId="0" applyFont="1" applyFill="1" applyBorder="1" applyAlignment="1">
      <alignment horizontal="center" vertical="center"/>
    </xf>
    <xf numFmtId="176" fontId="38" fillId="2" borderId="9" xfId="0" applyNumberFormat="1" applyFont="1" applyFill="1" applyBorder="1" applyAlignment="1">
      <alignment horizontal="center" vertical="center"/>
    </xf>
    <xf numFmtId="0" fontId="37" fillId="2" borderId="46" xfId="0" applyFont="1" applyFill="1" applyBorder="1" applyAlignment="1">
      <alignment horizontal="center" vertical="center"/>
    </xf>
    <xf numFmtId="0" fontId="37" fillId="2" borderId="47" xfId="0" applyFont="1" applyFill="1" applyBorder="1" applyAlignment="1">
      <alignment horizontal="center" vertical="center"/>
    </xf>
    <xf numFmtId="0" fontId="38" fillId="2" borderId="47" xfId="0" applyFont="1" applyFill="1" applyBorder="1" applyAlignment="1">
      <alignment horizontal="center" vertical="center"/>
    </xf>
    <xf numFmtId="176" fontId="38" fillId="2" borderId="48" xfId="0" applyNumberFormat="1" applyFont="1" applyFill="1" applyBorder="1" applyAlignment="1">
      <alignment horizontal="center" vertical="center"/>
    </xf>
    <xf numFmtId="0" fontId="34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7" fillId="0" borderId="0" xfId="0" applyFont="1">
      <alignment vertical="center"/>
    </xf>
    <xf numFmtId="0" fontId="37" fillId="0" borderId="0" xfId="0" applyFont="1" applyAlignment="1">
      <alignment horizontal="center" vertical="center"/>
    </xf>
    <xf numFmtId="0" fontId="37" fillId="0" borderId="43" xfId="0" applyFont="1" applyBorder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176" fontId="38" fillId="0" borderId="9" xfId="0" applyNumberFormat="1" applyFont="1" applyBorder="1" applyAlignment="1">
      <alignment horizontal="center" vertical="center"/>
    </xf>
    <xf numFmtId="0" fontId="39" fillId="0" borderId="0" xfId="2" applyFont="1" applyFill="1" applyAlignment="1">
      <alignment horizontal="center" vertical="center"/>
    </xf>
    <xf numFmtId="0" fontId="36" fillId="0" borderId="0" xfId="0" applyFont="1">
      <alignment vertical="center"/>
    </xf>
    <xf numFmtId="0" fontId="40" fillId="0" borderId="0" xfId="0" applyFont="1">
      <alignment vertical="center"/>
    </xf>
    <xf numFmtId="0" fontId="42" fillId="0" borderId="1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7" fillId="0" borderId="10" xfId="0" applyFont="1" applyBorder="1">
      <alignment vertical="center"/>
    </xf>
    <xf numFmtId="0" fontId="37" fillId="0" borderId="41" xfId="0" applyFont="1" applyBorder="1">
      <alignment vertical="center"/>
    </xf>
    <xf numFmtId="0" fontId="37" fillId="0" borderId="11" xfId="0" applyFont="1" applyBorder="1" applyAlignment="1">
      <alignment horizontal="center" vertical="center"/>
    </xf>
    <xf numFmtId="0" fontId="43" fillId="0" borderId="0" xfId="0" applyFont="1">
      <alignment vertical="center"/>
    </xf>
    <xf numFmtId="41" fontId="46" fillId="3" borderId="1" xfId="1" applyFont="1" applyFill="1" applyBorder="1" applyAlignment="1">
      <alignment horizontal="center" vertical="center"/>
    </xf>
    <xf numFmtId="41" fontId="46" fillId="3" borderId="11" xfId="1" applyFont="1" applyFill="1" applyBorder="1" applyAlignment="1">
      <alignment horizontal="center" vertical="center"/>
    </xf>
    <xf numFmtId="14" fontId="47" fillId="3" borderId="1" xfId="1" quotePrefix="1" applyNumberFormat="1" applyFont="1" applyFill="1" applyBorder="1" applyAlignment="1">
      <alignment horizontal="center" vertical="center"/>
    </xf>
    <xf numFmtId="41" fontId="47" fillId="3" borderId="1" xfId="1" applyFont="1" applyFill="1" applyBorder="1" applyAlignment="1">
      <alignment horizontal="center" vertical="center"/>
    </xf>
    <xf numFmtId="41" fontId="43" fillId="0" borderId="0" xfId="0" applyNumberFormat="1" applyFont="1">
      <alignment vertical="center"/>
    </xf>
    <xf numFmtId="0" fontId="43" fillId="4" borderId="2" xfId="0" applyFont="1" applyFill="1" applyBorder="1" applyAlignment="1">
      <alignment horizontal="center" vertical="center"/>
    </xf>
    <xf numFmtId="0" fontId="48" fillId="2" borderId="2" xfId="0" applyFont="1" applyFill="1" applyBorder="1" applyAlignment="1">
      <alignment horizontal="center" vertical="center"/>
    </xf>
    <xf numFmtId="41" fontId="48" fillId="2" borderId="2" xfId="1" applyFont="1" applyFill="1" applyBorder="1">
      <alignment vertical="center"/>
    </xf>
    <xf numFmtId="41" fontId="7" fillId="0" borderId="0" xfId="0" applyNumberFormat="1" applyFont="1">
      <alignment vertical="center"/>
    </xf>
    <xf numFmtId="0" fontId="43" fillId="4" borderId="12" xfId="0" applyFont="1" applyFill="1" applyBorder="1" applyAlignment="1">
      <alignment horizontal="center" vertical="center"/>
    </xf>
    <xf numFmtId="0" fontId="49" fillId="0" borderId="12" xfId="0" applyFont="1" applyBorder="1" applyAlignment="1">
      <alignment horizontal="center" vertical="center"/>
    </xf>
    <xf numFmtId="41" fontId="49" fillId="0" borderId="12" xfId="1" applyFont="1" applyFill="1" applyBorder="1">
      <alignment vertical="center"/>
    </xf>
    <xf numFmtId="0" fontId="49" fillId="0" borderId="3" xfId="0" applyFont="1" applyBorder="1" applyAlignment="1">
      <alignment horizontal="center" vertical="center"/>
    </xf>
    <xf numFmtId="41" fontId="49" fillId="0" borderId="3" xfId="1" applyFont="1" applyFill="1" applyBorder="1">
      <alignment vertical="center"/>
    </xf>
    <xf numFmtId="0" fontId="7" fillId="0" borderId="2" xfId="0" applyFont="1" applyBorder="1" applyAlignment="1">
      <alignment horizontal="center" vertical="center"/>
    </xf>
    <xf numFmtId="41" fontId="7" fillId="0" borderId="2" xfId="1" applyFont="1" applyFill="1" applyBorder="1">
      <alignment vertical="center"/>
    </xf>
    <xf numFmtId="0" fontId="43" fillId="0" borderId="0" xfId="0" applyFont="1" applyAlignment="1">
      <alignment horizontal="center" vertical="center"/>
    </xf>
    <xf numFmtId="41" fontId="7" fillId="0" borderId="0" xfId="1" applyFont="1">
      <alignment vertical="center"/>
    </xf>
    <xf numFmtId="0" fontId="50" fillId="0" borderId="0" xfId="0" applyFont="1">
      <alignment vertical="center"/>
    </xf>
    <xf numFmtId="0" fontId="51" fillId="0" borderId="0" xfId="0" applyFont="1" applyAlignment="1">
      <alignment horizontal="left" vertical="center"/>
    </xf>
    <xf numFmtId="0" fontId="52" fillId="0" borderId="0" xfId="0" applyFont="1" applyAlignment="1">
      <alignment horizontal="center" vertical="center"/>
    </xf>
    <xf numFmtId="0" fontId="53" fillId="0" borderId="0" xfId="0" applyFont="1" applyAlignment="1">
      <alignment horizontal="left" vertical="center"/>
    </xf>
    <xf numFmtId="0" fontId="53" fillId="0" borderId="0" xfId="0" applyFont="1" applyAlignment="1">
      <alignment horizontal="center" vertical="center"/>
    </xf>
    <xf numFmtId="0" fontId="55" fillId="7" borderId="52" xfId="0" applyFont="1" applyFill="1" applyBorder="1" applyAlignment="1">
      <alignment horizontal="center" vertical="center"/>
    </xf>
    <xf numFmtId="0" fontId="55" fillId="7" borderId="53" xfId="0" applyFont="1" applyFill="1" applyBorder="1" applyAlignment="1">
      <alignment horizontal="center" vertical="center"/>
    </xf>
    <xf numFmtId="0" fontId="55" fillId="7" borderId="49" xfId="0" applyFont="1" applyFill="1" applyBorder="1" applyAlignment="1">
      <alignment horizontal="center" vertical="center"/>
    </xf>
    <xf numFmtId="0" fontId="55" fillId="7" borderId="50" xfId="0" applyFont="1" applyFill="1" applyBorder="1" applyAlignment="1">
      <alignment horizontal="center" vertical="center"/>
    </xf>
    <xf numFmtId="0" fontId="56" fillId="2" borderId="42" xfId="0" applyFont="1" applyFill="1" applyBorder="1" applyAlignment="1">
      <alignment horizontal="center" vertical="center"/>
    </xf>
    <xf numFmtId="0" fontId="56" fillId="2" borderId="55" xfId="0" applyFont="1" applyFill="1" applyBorder="1" applyAlignment="1">
      <alignment horizontal="center" vertical="center"/>
    </xf>
    <xf numFmtId="0" fontId="57" fillId="2" borderId="0" xfId="0" applyFont="1" applyFill="1" applyAlignment="1">
      <alignment horizontal="center" vertical="center"/>
    </xf>
    <xf numFmtId="0" fontId="56" fillId="2" borderId="43" xfId="0" applyFont="1" applyFill="1" applyBorder="1" applyAlignment="1">
      <alignment horizontal="center" vertical="center"/>
    </xf>
    <xf numFmtId="0" fontId="56" fillId="2" borderId="56" xfId="0" applyFont="1" applyFill="1" applyBorder="1" applyAlignment="1">
      <alignment horizontal="center" vertical="center"/>
    </xf>
    <xf numFmtId="0" fontId="56" fillId="2" borderId="54" xfId="0" applyFont="1" applyFill="1" applyBorder="1" applyAlignment="1">
      <alignment horizontal="center" vertical="center"/>
    </xf>
    <xf numFmtId="0" fontId="56" fillId="9" borderId="43" xfId="0" applyFont="1" applyFill="1" applyBorder="1" applyAlignment="1">
      <alignment horizontal="center" vertical="center"/>
    </xf>
    <xf numFmtId="0" fontId="56" fillId="9" borderId="54" xfId="0" applyFont="1" applyFill="1" applyBorder="1" applyAlignment="1">
      <alignment horizontal="center" vertical="center"/>
    </xf>
    <xf numFmtId="0" fontId="56" fillId="2" borderId="45" xfId="0" applyFont="1" applyFill="1" applyBorder="1" applyAlignment="1">
      <alignment horizontal="center" vertical="center"/>
    </xf>
    <xf numFmtId="0" fontId="56" fillId="2" borderId="44" xfId="0" applyFont="1" applyFill="1" applyBorder="1" applyAlignment="1">
      <alignment horizontal="center" vertical="center"/>
    </xf>
    <xf numFmtId="0" fontId="56" fillId="2" borderId="46" xfId="0" applyFont="1" applyFill="1" applyBorder="1" applyAlignment="1">
      <alignment horizontal="center" vertical="center"/>
    </xf>
    <xf numFmtId="0" fontId="56" fillId="2" borderId="57" xfId="0" applyFont="1" applyFill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6" fillId="2" borderId="0" xfId="0" applyFont="1" applyFill="1" applyAlignment="1">
      <alignment horizontal="center" vertical="center"/>
    </xf>
    <xf numFmtId="0" fontId="5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9" fillId="2" borderId="58" xfId="0" applyFont="1" applyFill="1" applyBorder="1">
      <alignment vertical="center"/>
    </xf>
    <xf numFmtId="41" fontId="59" fillId="2" borderId="58" xfId="1" applyFont="1" applyFill="1" applyBorder="1">
      <alignment vertical="center"/>
    </xf>
    <xf numFmtId="0" fontId="59" fillId="2" borderId="59" xfId="0" applyFont="1" applyFill="1" applyBorder="1">
      <alignment vertical="center"/>
    </xf>
    <xf numFmtId="41" fontId="59" fillId="2" borderId="59" xfId="1" applyFont="1" applyFill="1" applyBorder="1">
      <alignment vertical="center"/>
    </xf>
    <xf numFmtId="0" fontId="59" fillId="2" borderId="60" xfId="0" applyFont="1" applyFill="1" applyBorder="1">
      <alignment vertical="center"/>
    </xf>
    <xf numFmtId="41" fontId="59" fillId="2" borderId="60" xfId="1" applyFont="1" applyFill="1" applyBorder="1">
      <alignment vertical="center"/>
    </xf>
    <xf numFmtId="0" fontId="59" fillId="2" borderId="0" xfId="0" applyFont="1" applyFill="1">
      <alignment vertical="center"/>
    </xf>
    <xf numFmtId="41" fontId="58" fillId="2" borderId="58" xfId="1" applyFont="1" applyFill="1" applyBorder="1">
      <alignment vertical="center"/>
    </xf>
    <xf numFmtId="0" fontId="46" fillId="0" borderId="12" xfId="0" applyFont="1" applyBorder="1">
      <alignment vertical="center"/>
    </xf>
    <xf numFmtId="0" fontId="46" fillId="2" borderId="58" xfId="0" applyFont="1" applyFill="1" applyBorder="1">
      <alignment vertical="center"/>
    </xf>
    <xf numFmtId="41" fontId="46" fillId="2" borderId="58" xfId="1" applyFont="1" applyFill="1" applyBorder="1">
      <alignment vertical="center"/>
    </xf>
    <xf numFmtId="41" fontId="43" fillId="3" borderId="58" xfId="1" applyFont="1" applyFill="1" applyBorder="1">
      <alignment vertical="center"/>
    </xf>
    <xf numFmtId="41" fontId="43" fillId="0" borderId="58" xfId="1" applyFont="1" applyFill="1" applyBorder="1">
      <alignment vertical="center"/>
    </xf>
    <xf numFmtId="41" fontId="7" fillId="3" borderId="58" xfId="1" applyFont="1" applyFill="1" applyBorder="1">
      <alignment vertical="center"/>
    </xf>
    <xf numFmtId="41" fontId="7" fillId="0" borderId="58" xfId="1" applyFont="1" applyFill="1" applyBorder="1">
      <alignment vertical="center"/>
    </xf>
    <xf numFmtId="41" fontId="7" fillId="0" borderId="58" xfId="1" applyFont="1" applyBorder="1">
      <alignment vertical="center"/>
    </xf>
    <xf numFmtId="0" fontId="7" fillId="0" borderId="59" xfId="0" applyFont="1" applyBorder="1">
      <alignment vertical="center"/>
    </xf>
    <xf numFmtId="41" fontId="7" fillId="0" borderId="59" xfId="1" applyFont="1" applyFill="1" applyBorder="1">
      <alignment vertical="center"/>
    </xf>
    <xf numFmtId="41" fontId="43" fillId="0" borderId="59" xfId="1" applyFont="1" applyFill="1" applyBorder="1">
      <alignment vertical="center"/>
    </xf>
    <xf numFmtId="41" fontId="43" fillId="3" borderId="59" xfId="1" applyFont="1" applyFill="1" applyBorder="1">
      <alignment vertical="center"/>
    </xf>
    <xf numFmtId="41" fontId="7" fillId="3" borderId="59" xfId="1" applyFont="1" applyFill="1" applyBorder="1">
      <alignment vertical="center"/>
    </xf>
    <xf numFmtId="41" fontId="7" fillId="0" borderId="59" xfId="1" applyFont="1" applyBorder="1">
      <alignment vertical="center"/>
    </xf>
    <xf numFmtId="0" fontId="7" fillId="0" borderId="60" xfId="0" applyFont="1" applyBorder="1">
      <alignment vertical="center"/>
    </xf>
    <xf numFmtId="41" fontId="7" fillId="0" borderId="60" xfId="1" applyFont="1" applyFill="1" applyBorder="1">
      <alignment vertical="center"/>
    </xf>
    <xf numFmtId="41" fontId="43" fillId="0" borderId="60" xfId="1" applyFont="1" applyFill="1" applyBorder="1">
      <alignment vertical="center"/>
    </xf>
    <xf numFmtId="41" fontId="43" fillId="3" borderId="60" xfId="1" applyFont="1" applyFill="1" applyBorder="1">
      <alignment vertical="center"/>
    </xf>
    <xf numFmtId="41" fontId="7" fillId="3" borderId="60" xfId="1" applyFont="1" applyFill="1" applyBorder="1">
      <alignment vertical="center"/>
    </xf>
    <xf numFmtId="41" fontId="7" fillId="0" borderId="60" xfId="1" applyFont="1" applyBorder="1">
      <alignment vertical="center"/>
    </xf>
    <xf numFmtId="0" fontId="46" fillId="0" borderId="58" xfId="0" applyFont="1" applyBorder="1">
      <alignment vertical="center"/>
    </xf>
    <xf numFmtId="41" fontId="46" fillId="0" borderId="58" xfId="1" applyFont="1" applyBorder="1">
      <alignment vertical="center"/>
    </xf>
    <xf numFmtId="41" fontId="46" fillId="0" borderId="58" xfId="1" applyFont="1" applyFill="1" applyBorder="1">
      <alignment vertical="center"/>
    </xf>
    <xf numFmtId="0" fontId="45" fillId="12" borderId="3" xfId="0" applyFont="1" applyFill="1" applyBorder="1" applyAlignment="1">
      <alignment horizontal="center" vertical="center"/>
    </xf>
    <xf numFmtId="0" fontId="41" fillId="12" borderId="1" xfId="0" applyFont="1" applyFill="1" applyBorder="1" applyAlignment="1">
      <alignment horizontal="center" vertical="center"/>
    </xf>
    <xf numFmtId="0" fontId="33" fillId="12" borderId="11" xfId="0" applyFont="1" applyFill="1" applyBorder="1" applyAlignment="1">
      <alignment horizontal="center" vertical="center"/>
    </xf>
    <xf numFmtId="0" fontId="33" fillId="12" borderId="1" xfId="0" applyFont="1" applyFill="1" applyBorder="1" applyAlignment="1">
      <alignment horizontal="center" vertical="center"/>
    </xf>
    <xf numFmtId="0" fontId="33" fillId="12" borderId="10" xfId="0" applyFont="1" applyFill="1" applyBorder="1" applyAlignment="1">
      <alignment horizontal="centerContinuous" vertical="center"/>
    </xf>
    <xf numFmtId="0" fontId="33" fillId="12" borderId="41" xfId="0" applyFont="1" applyFill="1" applyBorder="1" applyAlignment="1">
      <alignment horizontal="centerContinuous" vertical="center"/>
    </xf>
    <xf numFmtId="0" fontId="44" fillId="12" borderId="2" xfId="0" applyFont="1" applyFill="1" applyBorder="1" applyAlignment="1">
      <alignment horizontal="center" vertical="center"/>
    </xf>
    <xf numFmtId="0" fontId="45" fillId="12" borderId="2" xfId="0" applyFont="1" applyFill="1" applyBorder="1" applyAlignment="1">
      <alignment horizontal="center" vertical="center"/>
    </xf>
    <xf numFmtId="41" fontId="45" fillId="12" borderId="2" xfId="1" applyFont="1" applyFill="1" applyBorder="1" applyAlignment="1">
      <alignment horizontal="center" vertical="center"/>
    </xf>
    <xf numFmtId="0" fontId="44" fillId="12" borderId="3" xfId="0" applyFont="1" applyFill="1" applyBorder="1" applyAlignment="1">
      <alignment horizontal="center" vertical="center"/>
    </xf>
    <xf numFmtId="41" fontId="45" fillId="12" borderId="3" xfId="1" applyFont="1" applyFill="1" applyBorder="1" applyAlignment="1">
      <alignment horizontal="center" vertical="center"/>
    </xf>
    <xf numFmtId="41" fontId="45" fillId="12" borderId="1" xfId="1" applyFont="1" applyFill="1" applyBorder="1" applyAlignment="1">
      <alignment horizontal="center" vertical="center"/>
    </xf>
    <xf numFmtId="41" fontId="60" fillId="12" borderId="10" xfId="1" applyFont="1" applyFill="1" applyBorder="1" applyAlignment="1">
      <alignment horizontal="center" vertical="center"/>
    </xf>
    <xf numFmtId="41" fontId="60" fillId="12" borderId="41" xfId="1" applyFont="1" applyFill="1" applyBorder="1" applyAlignment="1">
      <alignment horizontal="center" vertical="center"/>
    </xf>
    <xf numFmtId="0" fontId="61" fillId="0" borderId="0" xfId="0" applyFont="1">
      <alignment vertical="center"/>
    </xf>
    <xf numFmtId="41" fontId="59" fillId="2" borderId="58" xfId="1" applyFont="1" applyFill="1" applyBorder="1" applyAlignment="1">
      <alignment horizontal="center" vertical="center" wrapText="1"/>
    </xf>
    <xf numFmtId="41" fontId="59" fillId="2" borderId="59" xfId="1" applyFont="1" applyFill="1" applyBorder="1" applyAlignment="1">
      <alignment horizontal="center" vertical="center" wrapText="1"/>
    </xf>
    <xf numFmtId="0" fontId="62" fillId="0" borderId="12" xfId="0" applyFont="1" applyBorder="1">
      <alignment vertical="center"/>
    </xf>
    <xf numFmtId="0" fontId="62" fillId="0" borderId="3" xfId="0" applyFont="1" applyBorder="1">
      <alignment vertical="center"/>
    </xf>
    <xf numFmtId="0" fontId="63" fillId="2" borderId="2" xfId="0" applyFont="1" applyFill="1" applyBorder="1">
      <alignment vertical="center"/>
    </xf>
    <xf numFmtId="0" fontId="63" fillId="0" borderId="12" xfId="0" applyFont="1" applyBorder="1">
      <alignment vertical="center"/>
    </xf>
    <xf numFmtId="0" fontId="63" fillId="0" borderId="3" xfId="0" applyFont="1" applyBorder="1">
      <alignment vertical="center"/>
    </xf>
    <xf numFmtId="0" fontId="63" fillId="0" borderId="2" xfId="0" applyFont="1" applyBorder="1">
      <alignment vertical="center"/>
    </xf>
    <xf numFmtId="0" fontId="0" fillId="7" borderId="0" xfId="0" applyFill="1">
      <alignment vertical="center"/>
    </xf>
    <xf numFmtId="0" fontId="42" fillId="2" borderId="43" xfId="0" applyFont="1" applyFill="1" applyBorder="1" applyAlignment="1">
      <alignment horizontal="center" vertical="center"/>
    </xf>
    <xf numFmtId="0" fontId="42" fillId="2" borderId="8" xfId="0" applyFont="1" applyFill="1" applyBorder="1" applyAlignment="1">
      <alignment horizontal="center" vertical="center"/>
    </xf>
    <xf numFmtId="0" fontId="64" fillId="2" borderId="8" xfId="0" applyFont="1" applyFill="1" applyBorder="1" applyAlignment="1">
      <alignment horizontal="center" vertical="center"/>
    </xf>
    <xf numFmtId="176" fontId="38" fillId="0" borderId="0" xfId="1" applyNumberFormat="1" applyFont="1" applyFill="1" applyBorder="1" applyAlignment="1">
      <alignment horizontal="center" vertical="center"/>
    </xf>
    <xf numFmtId="0" fontId="65" fillId="0" borderId="0" xfId="0" applyFont="1">
      <alignment vertical="center"/>
    </xf>
    <xf numFmtId="176" fontId="64" fillId="2" borderId="9" xfId="0" applyNumberFormat="1" applyFont="1" applyFill="1" applyBorder="1" applyAlignment="1">
      <alignment horizontal="center" vertical="center"/>
    </xf>
    <xf numFmtId="176" fontId="64" fillId="0" borderId="0" xfId="1" applyNumberFormat="1" applyFont="1" applyFill="1" applyBorder="1" applyAlignment="1">
      <alignment horizontal="center" vertical="center"/>
    </xf>
    <xf numFmtId="0" fontId="33" fillId="10" borderId="52" xfId="0" applyFont="1" applyFill="1" applyBorder="1" applyAlignment="1">
      <alignment horizontal="center" vertical="center"/>
    </xf>
    <xf numFmtId="0" fontId="33" fillId="10" borderId="69" xfId="0" applyFont="1" applyFill="1" applyBorder="1" applyAlignment="1">
      <alignment horizontal="center" vertical="center"/>
    </xf>
    <xf numFmtId="0" fontId="33" fillId="10" borderId="70" xfId="0" applyFont="1" applyFill="1" applyBorder="1" applyAlignment="1">
      <alignment horizontal="center" vertical="center"/>
    </xf>
    <xf numFmtId="0" fontId="33" fillId="10" borderId="71" xfId="0" applyFont="1" applyFill="1" applyBorder="1" applyAlignment="1">
      <alignment horizontal="center" vertical="center"/>
    </xf>
    <xf numFmtId="0" fontId="33" fillId="10" borderId="72" xfId="0" applyFont="1" applyFill="1" applyBorder="1" applyAlignment="1">
      <alignment horizontal="center" vertical="center"/>
    </xf>
    <xf numFmtId="0" fontId="33" fillId="10" borderId="73" xfId="0" applyFont="1" applyFill="1" applyBorder="1" applyAlignment="1">
      <alignment horizontal="center" vertical="center"/>
    </xf>
    <xf numFmtId="0" fontId="58" fillId="6" borderId="1" xfId="0" applyFont="1" applyFill="1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26" fillId="0" borderId="74" xfId="2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26" fillId="0" borderId="76" xfId="2" applyBorder="1" applyAlignment="1">
      <alignment horizontal="center" vertical="center"/>
    </xf>
    <xf numFmtId="0" fontId="5" fillId="4" borderId="75" xfId="0" applyFont="1" applyFill="1" applyBorder="1" applyAlignment="1">
      <alignment horizontal="center" vertical="center"/>
    </xf>
    <xf numFmtId="41" fontId="45" fillId="12" borderId="10" xfId="1" applyFont="1" applyFill="1" applyBorder="1" applyAlignment="1">
      <alignment horizontal="center" vertical="center"/>
    </xf>
    <xf numFmtId="41" fontId="60" fillId="12" borderId="1" xfId="1" applyFont="1" applyFill="1" applyBorder="1" applyAlignment="1">
      <alignment horizontal="center" vertical="center"/>
    </xf>
    <xf numFmtId="0" fontId="63" fillId="2" borderId="12" xfId="0" applyFont="1" applyFill="1" applyBorder="1">
      <alignment vertical="center"/>
    </xf>
    <xf numFmtId="0" fontId="9" fillId="2" borderId="43" xfId="0" applyFont="1" applyFill="1" applyBorder="1" applyAlignment="1">
      <alignment horizontal="center" vertical="center"/>
    </xf>
    <xf numFmtId="0" fontId="9" fillId="2" borderId="54" xfId="0" applyFont="1" applyFill="1" applyBorder="1" applyAlignment="1">
      <alignment horizontal="center" vertical="center"/>
    </xf>
    <xf numFmtId="0" fontId="9" fillId="2" borderId="46" xfId="0" applyFont="1" applyFill="1" applyBorder="1" applyAlignment="1">
      <alignment horizontal="center" vertical="center"/>
    </xf>
    <xf numFmtId="0" fontId="9" fillId="2" borderId="57" xfId="0" applyFont="1" applyFill="1" applyBorder="1" applyAlignment="1">
      <alignment horizontal="center" vertical="center"/>
    </xf>
    <xf numFmtId="0" fontId="67" fillId="14" borderId="43" xfId="0" applyFont="1" applyFill="1" applyBorder="1" applyAlignment="1">
      <alignment horizontal="center" vertical="center"/>
    </xf>
    <xf numFmtId="0" fontId="67" fillId="14" borderId="54" xfId="0" applyFont="1" applyFill="1" applyBorder="1" applyAlignment="1">
      <alignment horizontal="center" vertical="center"/>
    </xf>
    <xf numFmtId="0" fontId="67" fillId="14" borderId="46" xfId="0" applyFont="1" applyFill="1" applyBorder="1" applyAlignment="1">
      <alignment horizontal="center" vertical="center"/>
    </xf>
    <xf numFmtId="0" fontId="67" fillId="14" borderId="57" xfId="0" applyFont="1" applyFill="1" applyBorder="1" applyAlignment="1">
      <alignment horizontal="center" vertical="center"/>
    </xf>
    <xf numFmtId="0" fontId="67" fillId="2" borderId="43" xfId="0" applyFont="1" applyFill="1" applyBorder="1" applyAlignment="1">
      <alignment horizontal="center" vertical="center"/>
    </xf>
    <xf numFmtId="0" fontId="67" fillId="2" borderId="54" xfId="0" applyFont="1" applyFill="1" applyBorder="1" applyAlignment="1">
      <alignment horizontal="center" vertical="center"/>
    </xf>
    <xf numFmtId="0" fontId="67" fillId="2" borderId="46" xfId="0" applyFont="1" applyFill="1" applyBorder="1" applyAlignment="1">
      <alignment horizontal="center" vertical="center"/>
    </xf>
    <xf numFmtId="0" fontId="67" fillId="2" borderId="57" xfId="0" applyFont="1" applyFill="1" applyBorder="1" applyAlignment="1">
      <alignment horizontal="center" vertical="center"/>
    </xf>
    <xf numFmtId="0" fontId="67" fillId="2" borderId="77" xfId="0" applyFont="1" applyFill="1" applyBorder="1" applyAlignment="1">
      <alignment horizontal="center" vertical="center"/>
    </xf>
    <xf numFmtId="0" fontId="67" fillId="9" borderId="43" xfId="0" applyFont="1" applyFill="1" applyBorder="1" applyAlignment="1">
      <alignment horizontal="center" vertical="center"/>
    </xf>
    <xf numFmtId="0" fontId="67" fillId="9" borderId="54" xfId="0" applyFont="1" applyFill="1" applyBorder="1" applyAlignment="1">
      <alignment horizontal="center" vertical="center"/>
    </xf>
    <xf numFmtId="0" fontId="67" fillId="9" borderId="46" xfId="0" applyFont="1" applyFill="1" applyBorder="1" applyAlignment="1">
      <alignment horizontal="center" vertical="center"/>
    </xf>
    <xf numFmtId="0" fontId="67" fillId="9" borderId="57" xfId="0" applyFont="1" applyFill="1" applyBorder="1" applyAlignment="1">
      <alignment horizontal="center" vertical="center"/>
    </xf>
    <xf numFmtId="0" fontId="67" fillId="2" borderId="0" xfId="0" applyFont="1" applyFill="1" applyAlignment="1">
      <alignment horizontal="center" vertical="center"/>
    </xf>
    <xf numFmtId="0" fontId="68" fillId="2" borderId="0" xfId="0" applyFont="1" applyFill="1">
      <alignment vertical="center"/>
    </xf>
    <xf numFmtId="0" fontId="69" fillId="2" borderId="0" xfId="0" applyFont="1" applyFill="1">
      <alignment vertical="center"/>
    </xf>
    <xf numFmtId="0" fontId="4" fillId="2" borderId="0" xfId="0" applyFont="1" applyFill="1" applyAlignment="1">
      <alignment horizontal="center" vertical="center"/>
    </xf>
    <xf numFmtId="0" fontId="44" fillId="10" borderId="40" xfId="0" applyFont="1" applyFill="1" applyBorder="1" applyAlignment="1">
      <alignment horizontal="center" vertical="center" wrapText="1"/>
    </xf>
    <xf numFmtId="0" fontId="44" fillId="10" borderId="84" xfId="0" applyFont="1" applyFill="1" applyBorder="1" applyAlignment="1">
      <alignment horizontal="center" vertical="center" wrapText="1"/>
    </xf>
    <xf numFmtId="0" fontId="44" fillId="10" borderId="29" xfId="0" applyFont="1" applyFill="1" applyBorder="1" applyAlignment="1">
      <alignment horizontal="center" vertical="center" wrapText="1"/>
    </xf>
    <xf numFmtId="0" fontId="54" fillId="15" borderId="84" xfId="0" applyFont="1" applyFill="1" applyBorder="1" applyAlignment="1">
      <alignment horizontal="center" vertical="center"/>
    </xf>
    <xf numFmtId="176" fontId="54" fillId="15" borderId="40" xfId="1" applyNumberFormat="1" applyFont="1" applyFill="1" applyBorder="1" applyAlignment="1">
      <alignment horizontal="center" vertical="center"/>
    </xf>
    <xf numFmtId="176" fontId="54" fillId="15" borderId="84" xfId="1" applyNumberFormat="1" applyFont="1" applyFill="1" applyBorder="1" applyAlignment="1">
      <alignment horizontal="center" vertical="center"/>
    </xf>
    <xf numFmtId="176" fontId="54" fillId="15" borderId="29" xfId="1" applyNumberFormat="1" applyFont="1" applyFill="1" applyBorder="1" applyAlignment="1">
      <alignment horizontal="center" vertical="center"/>
    </xf>
    <xf numFmtId="176" fontId="72" fillId="2" borderId="87" xfId="0" applyNumberFormat="1" applyFont="1" applyFill="1" applyBorder="1" applyAlignment="1">
      <alignment horizontal="center" vertical="center"/>
    </xf>
    <xf numFmtId="176" fontId="72" fillId="2" borderId="88" xfId="1" applyNumberFormat="1" applyFont="1" applyFill="1" applyBorder="1" applyAlignment="1">
      <alignment horizontal="center" vertical="center"/>
    </xf>
    <xf numFmtId="176" fontId="72" fillId="2" borderId="87" xfId="1" applyNumberFormat="1" applyFont="1" applyFill="1" applyBorder="1" applyAlignment="1">
      <alignment horizontal="center" vertical="center"/>
    </xf>
    <xf numFmtId="176" fontId="72" fillId="2" borderId="89" xfId="1" applyNumberFormat="1" applyFont="1" applyFill="1" applyBorder="1" applyAlignment="1">
      <alignment horizontal="center" vertical="center"/>
    </xf>
    <xf numFmtId="176" fontId="72" fillId="2" borderId="92" xfId="0" applyNumberFormat="1" applyFont="1" applyFill="1" applyBorder="1" applyAlignment="1">
      <alignment horizontal="center" vertical="center"/>
    </xf>
    <xf numFmtId="176" fontId="72" fillId="2" borderId="93" xfId="1" applyNumberFormat="1" applyFont="1" applyFill="1" applyBorder="1" applyAlignment="1">
      <alignment horizontal="center" vertical="center"/>
    </xf>
    <xf numFmtId="176" fontId="72" fillId="2" borderId="92" xfId="1" applyNumberFormat="1" applyFont="1" applyFill="1" applyBorder="1" applyAlignment="1">
      <alignment horizontal="center" vertical="center"/>
    </xf>
    <xf numFmtId="176" fontId="72" fillId="2" borderId="94" xfId="1" applyNumberFormat="1" applyFont="1" applyFill="1" applyBorder="1" applyAlignment="1">
      <alignment horizontal="center" vertical="center"/>
    </xf>
    <xf numFmtId="0" fontId="65" fillId="2" borderId="0" xfId="0" applyFont="1" applyFill="1">
      <alignment vertical="center"/>
    </xf>
    <xf numFmtId="0" fontId="73" fillId="2" borderId="43" xfId="0" applyFont="1" applyFill="1" applyBorder="1" applyAlignment="1">
      <alignment horizontal="center" vertical="center"/>
    </xf>
    <xf numFmtId="0" fontId="73" fillId="2" borderId="54" xfId="0" applyFont="1" applyFill="1" applyBorder="1" applyAlignment="1">
      <alignment horizontal="center" vertical="center"/>
    </xf>
    <xf numFmtId="0" fontId="73" fillId="3" borderId="43" xfId="0" applyFont="1" applyFill="1" applyBorder="1" applyAlignment="1">
      <alignment horizontal="center" vertical="center"/>
    </xf>
    <xf numFmtId="0" fontId="73" fillId="3" borderId="54" xfId="0" applyFont="1" applyFill="1" applyBorder="1" applyAlignment="1">
      <alignment horizontal="center" vertical="center"/>
    </xf>
    <xf numFmtId="0" fontId="56" fillId="0" borderId="43" xfId="0" applyFont="1" applyBorder="1" applyAlignment="1">
      <alignment horizontal="center" vertical="center"/>
    </xf>
    <xf numFmtId="0" fontId="56" fillId="0" borderId="54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0" fontId="67" fillId="0" borderId="43" xfId="0" applyFont="1" applyBorder="1" applyAlignment="1">
      <alignment horizontal="center" vertical="center"/>
    </xf>
    <xf numFmtId="0" fontId="67" fillId="0" borderId="54" xfId="0" applyFont="1" applyBorder="1" applyAlignment="1">
      <alignment horizontal="center" vertical="center"/>
    </xf>
    <xf numFmtId="0" fontId="56" fillId="2" borderId="77" xfId="0" applyFont="1" applyFill="1" applyBorder="1" applyAlignment="1">
      <alignment horizontal="center" vertical="center"/>
    </xf>
    <xf numFmtId="0" fontId="43" fillId="9" borderId="0" xfId="0" applyFont="1" applyFill="1" applyAlignment="1">
      <alignment horizontal="center" vertical="center"/>
    </xf>
    <xf numFmtId="0" fontId="74" fillId="0" borderId="0" xfId="2" applyFont="1">
      <alignment vertical="center"/>
    </xf>
    <xf numFmtId="0" fontId="43" fillId="0" borderId="1" xfId="0" applyFont="1" applyBorder="1" applyAlignment="1">
      <alignment horizontal="center" vertical="center"/>
    </xf>
    <xf numFmtId="0" fontId="75" fillId="0" borderId="0" xfId="0" applyFont="1">
      <alignment vertical="center"/>
    </xf>
    <xf numFmtId="0" fontId="58" fillId="6" borderId="10" xfId="0" applyFont="1" applyFill="1" applyBorder="1" applyAlignment="1">
      <alignment horizontal="center" vertical="center" wrapText="1"/>
    </xf>
    <xf numFmtId="176" fontId="3" fillId="2" borderId="0" xfId="0" applyNumberFormat="1" applyFont="1" applyFill="1">
      <alignment vertical="center"/>
    </xf>
    <xf numFmtId="177" fontId="3" fillId="2" borderId="0" xfId="0" applyNumberFormat="1" applyFont="1" applyFill="1">
      <alignment vertical="center"/>
    </xf>
    <xf numFmtId="0" fontId="36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3" fillId="2" borderId="45" xfId="0" applyFont="1" applyFill="1" applyBorder="1">
      <alignment vertical="center"/>
    </xf>
    <xf numFmtId="41" fontId="59" fillId="2" borderId="100" xfId="1" applyFont="1" applyFill="1" applyBorder="1">
      <alignment vertical="center"/>
    </xf>
    <xf numFmtId="41" fontId="7" fillId="0" borderId="0" xfId="1" applyFont="1" applyFill="1" applyAlignment="1">
      <alignment horizontal="center" vertical="center"/>
    </xf>
    <xf numFmtId="41" fontId="7" fillId="0" borderId="0" xfId="1" applyFont="1" applyFill="1">
      <alignment vertical="center"/>
    </xf>
    <xf numFmtId="41" fontId="45" fillId="0" borderId="0" xfId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6" fillId="0" borderId="0" xfId="2" applyFont="1" applyFill="1" applyAlignment="1">
      <alignment horizontal="center" vertical="center"/>
    </xf>
    <xf numFmtId="0" fontId="79" fillId="0" borderId="0" xfId="2" applyFont="1">
      <alignment vertical="center"/>
    </xf>
    <xf numFmtId="0" fontId="80" fillId="3" borderId="0" xfId="0" applyFont="1" applyFill="1">
      <alignment vertical="center"/>
    </xf>
    <xf numFmtId="41" fontId="77" fillId="0" borderId="0" xfId="1" applyFont="1" applyFill="1" applyBorder="1" applyAlignment="1">
      <alignment horizontal="center" vertical="center"/>
    </xf>
    <xf numFmtId="41" fontId="7" fillId="0" borderId="0" xfId="1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41" fontId="0" fillId="0" borderId="1" xfId="1" applyFont="1" applyBorder="1">
      <alignment vertical="center"/>
    </xf>
    <xf numFmtId="0" fontId="5" fillId="0" borderId="1" xfId="0" applyFont="1" applyBorder="1">
      <alignment vertical="center"/>
    </xf>
    <xf numFmtId="41" fontId="5" fillId="0" borderId="1" xfId="1" applyFont="1" applyBorder="1">
      <alignment vertical="center"/>
    </xf>
    <xf numFmtId="0" fontId="0" fillId="0" borderId="58" xfId="0" applyBorder="1">
      <alignment vertical="center"/>
    </xf>
    <xf numFmtId="41" fontId="0" fillId="0" borderId="58" xfId="1" applyFont="1" applyBorder="1">
      <alignment vertical="center"/>
    </xf>
    <xf numFmtId="0" fontId="0" fillId="0" borderId="59" xfId="0" applyBorder="1">
      <alignment vertical="center"/>
    </xf>
    <xf numFmtId="41" fontId="0" fillId="0" borderId="59" xfId="1" applyFont="1" applyBorder="1">
      <alignment vertical="center"/>
    </xf>
    <xf numFmtId="0" fontId="5" fillId="0" borderId="60" xfId="0" applyFont="1" applyBorder="1">
      <alignment vertical="center"/>
    </xf>
    <xf numFmtId="41" fontId="5" fillId="0" borderId="60" xfId="1" applyFont="1" applyBorder="1">
      <alignment vertical="center"/>
    </xf>
    <xf numFmtId="0" fontId="5" fillId="16" borderId="0" xfId="0" applyFont="1" applyFill="1" applyAlignment="1">
      <alignment horizontal="center" vertical="center"/>
    </xf>
    <xf numFmtId="41" fontId="0" fillId="2" borderId="0" xfId="1" applyFont="1" applyFill="1">
      <alignment vertical="center"/>
    </xf>
    <xf numFmtId="0" fontId="38" fillId="3" borderId="0" xfId="0" applyFont="1" applyFill="1">
      <alignment vertical="center"/>
    </xf>
    <xf numFmtId="0" fontId="0" fillId="3" borderId="0" xfId="0" applyFill="1">
      <alignment vertical="center"/>
    </xf>
    <xf numFmtId="0" fontId="45" fillId="12" borderId="2" xfId="0" applyFont="1" applyFill="1" applyBorder="1" applyAlignment="1">
      <alignment horizontal="center" vertical="center" wrapText="1"/>
    </xf>
    <xf numFmtId="0" fontId="45" fillId="12" borderId="3" xfId="0" applyFont="1" applyFill="1" applyBorder="1" applyAlignment="1">
      <alignment horizontal="center" vertical="center" wrapText="1"/>
    </xf>
    <xf numFmtId="41" fontId="45" fillId="12" borderId="10" xfId="1" applyFont="1" applyFill="1" applyBorder="1" applyAlignment="1">
      <alignment horizontal="center" vertical="center"/>
    </xf>
    <xf numFmtId="41" fontId="45" fillId="12" borderId="41" xfId="1" applyFont="1" applyFill="1" applyBorder="1" applyAlignment="1">
      <alignment horizontal="center" vertical="center"/>
    </xf>
    <xf numFmtId="41" fontId="60" fillId="12" borderId="1" xfId="1" applyFont="1" applyFill="1" applyBorder="1" applyAlignment="1">
      <alignment horizontal="center" vertical="center"/>
    </xf>
    <xf numFmtId="49" fontId="20" fillId="0" borderId="20" xfId="1" applyNumberFormat="1" applyFont="1" applyFill="1" applyBorder="1" applyAlignment="1">
      <alignment horizontal="center" vertical="center"/>
    </xf>
    <xf numFmtId="49" fontId="20" fillId="0" borderId="19" xfId="1" applyNumberFormat="1" applyFont="1" applyFill="1" applyBorder="1" applyAlignment="1">
      <alignment horizontal="center" vertical="center"/>
    </xf>
    <xf numFmtId="0" fontId="10" fillId="6" borderId="26" xfId="0" applyFont="1" applyFill="1" applyBorder="1" applyAlignment="1">
      <alignment horizontal="center" vertical="center"/>
    </xf>
    <xf numFmtId="0" fontId="10" fillId="6" borderId="28" xfId="0" applyFont="1" applyFill="1" applyBorder="1" applyAlignment="1">
      <alignment horizontal="center" vertical="center"/>
    </xf>
    <xf numFmtId="0" fontId="5" fillId="6" borderId="27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12" fillId="6" borderId="23" xfId="0" applyFont="1" applyFill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49" fontId="20" fillId="0" borderId="17" xfId="1" applyNumberFormat="1" applyFont="1" applyFill="1" applyBorder="1" applyAlignment="1">
      <alignment horizontal="center" vertical="center"/>
    </xf>
    <xf numFmtId="49" fontId="20" fillId="0" borderId="21" xfId="1" applyNumberFormat="1" applyFont="1" applyFill="1" applyBorder="1" applyAlignment="1">
      <alignment horizontal="center" vertical="center"/>
    </xf>
    <xf numFmtId="0" fontId="59" fillId="2" borderId="58" xfId="0" applyFont="1" applyFill="1" applyBorder="1" applyAlignment="1">
      <alignment horizontal="center" vertical="center" wrapText="1"/>
    </xf>
    <xf numFmtId="0" fontId="59" fillId="2" borderId="59" xfId="0" applyFont="1" applyFill="1" applyBorder="1" applyAlignment="1">
      <alignment horizontal="center" vertical="center"/>
    </xf>
    <xf numFmtId="0" fontId="59" fillId="2" borderId="60" xfId="0" applyFont="1" applyFill="1" applyBorder="1" applyAlignment="1">
      <alignment horizontal="center" vertical="center"/>
    </xf>
    <xf numFmtId="0" fontId="59" fillId="2" borderId="2" xfId="0" applyFont="1" applyFill="1" applyBorder="1" applyAlignment="1">
      <alignment horizontal="center" vertical="center" wrapText="1"/>
    </xf>
    <xf numFmtId="0" fontId="59" fillId="2" borderId="12" xfId="0" applyFont="1" applyFill="1" applyBorder="1" applyAlignment="1">
      <alignment horizontal="center" vertical="center"/>
    </xf>
    <xf numFmtId="0" fontId="59" fillId="2" borderId="3" xfId="0" applyFont="1" applyFill="1" applyBorder="1" applyAlignment="1">
      <alignment horizontal="center" vertical="center"/>
    </xf>
    <xf numFmtId="0" fontId="58" fillId="6" borderId="6" xfId="0" applyFont="1" applyFill="1" applyBorder="1" applyAlignment="1">
      <alignment horizontal="center" vertical="center"/>
    </xf>
    <xf numFmtId="0" fontId="58" fillId="6" borderId="63" xfId="0" applyFont="1" applyFill="1" applyBorder="1" applyAlignment="1">
      <alignment horizontal="center" vertical="center"/>
    </xf>
    <xf numFmtId="0" fontId="58" fillId="2" borderId="6" xfId="1" quotePrefix="1" applyNumberFormat="1" applyFont="1" applyFill="1" applyBorder="1" applyAlignment="1">
      <alignment horizontal="left" vertical="center" wrapText="1"/>
    </xf>
    <xf numFmtId="0" fontId="58" fillId="2" borderId="63" xfId="1" quotePrefix="1" applyNumberFormat="1" applyFont="1" applyFill="1" applyBorder="1" applyAlignment="1">
      <alignment horizontal="left" vertical="center" wrapText="1"/>
    </xf>
    <xf numFmtId="0" fontId="58" fillId="2" borderId="65" xfId="1" quotePrefix="1" applyNumberFormat="1" applyFont="1" applyFill="1" applyBorder="1" applyAlignment="1">
      <alignment horizontal="left" vertical="center" wrapText="1"/>
    </xf>
    <xf numFmtId="0" fontId="58" fillId="2" borderId="66" xfId="1" quotePrefix="1" applyNumberFormat="1" applyFont="1" applyFill="1" applyBorder="1" applyAlignment="1">
      <alignment horizontal="left" vertical="center" wrapText="1"/>
    </xf>
    <xf numFmtId="0" fontId="58" fillId="2" borderId="5" xfId="1" quotePrefix="1" applyNumberFormat="1" applyFont="1" applyFill="1" applyBorder="1" applyAlignment="1">
      <alignment horizontal="left" vertical="center" wrapText="1"/>
    </xf>
    <xf numFmtId="0" fontId="58" fillId="2" borderId="64" xfId="1" quotePrefix="1" applyNumberFormat="1" applyFont="1" applyFill="1" applyBorder="1" applyAlignment="1">
      <alignment horizontal="left" vertical="center" wrapText="1"/>
    </xf>
    <xf numFmtId="0" fontId="59" fillId="2" borderId="61" xfId="0" applyFont="1" applyFill="1" applyBorder="1" applyAlignment="1">
      <alignment horizontal="center" vertical="center"/>
    </xf>
    <xf numFmtId="0" fontId="59" fillId="2" borderId="62" xfId="0" applyFont="1" applyFill="1" applyBorder="1" applyAlignment="1">
      <alignment horizontal="center" vertical="center"/>
    </xf>
    <xf numFmtId="0" fontId="59" fillId="2" borderId="67" xfId="0" applyFont="1" applyFill="1" applyBorder="1" applyAlignment="1">
      <alignment horizontal="center" vertical="center"/>
    </xf>
    <xf numFmtId="0" fontId="59" fillId="2" borderId="68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70" fillId="10" borderId="81" xfId="0" applyFont="1" applyFill="1" applyBorder="1" applyAlignment="1">
      <alignment horizontal="center" vertical="center"/>
    </xf>
    <xf numFmtId="0" fontId="70" fillId="10" borderId="82" xfId="0" applyFont="1" applyFill="1" applyBorder="1" applyAlignment="1">
      <alignment horizontal="center" vertical="center"/>
    </xf>
    <xf numFmtId="0" fontId="70" fillId="10" borderId="83" xfId="0" applyFont="1" applyFill="1" applyBorder="1" applyAlignment="1">
      <alignment horizontal="center" vertical="center"/>
    </xf>
    <xf numFmtId="0" fontId="70" fillId="10" borderId="42" xfId="0" applyFont="1" applyFill="1" applyBorder="1" applyAlignment="1">
      <alignment horizontal="center" vertical="center" wrapText="1"/>
    </xf>
    <xf numFmtId="0" fontId="70" fillId="10" borderId="43" xfId="0" applyFont="1" applyFill="1" applyBorder="1" applyAlignment="1">
      <alignment horizontal="center" vertical="center"/>
    </xf>
    <xf numFmtId="0" fontId="70" fillId="10" borderId="78" xfId="0" applyFont="1" applyFill="1" applyBorder="1" applyAlignment="1">
      <alignment horizontal="center" vertical="center"/>
    </xf>
    <xf numFmtId="0" fontId="70" fillId="10" borderId="8" xfId="0" applyFont="1" applyFill="1" applyBorder="1" applyAlignment="1">
      <alignment horizontal="center" vertical="center"/>
    </xf>
    <xf numFmtId="0" fontId="70" fillId="10" borderId="79" xfId="0" applyFont="1" applyFill="1" applyBorder="1" applyAlignment="1">
      <alignment horizontal="center" vertical="center"/>
    </xf>
    <xf numFmtId="0" fontId="70" fillId="10" borderId="9" xfId="0" applyFont="1" applyFill="1" applyBorder="1" applyAlignment="1">
      <alignment horizontal="center" vertical="center"/>
    </xf>
    <xf numFmtId="0" fontId="70" fillId="10" borderId="80" xfId="0" applyFont="1" applyFill="1" applyBorder="1" applyAlignment="1">
      <alignment horizontal="center" vertical="center"/>
    </xf>
    <xf numFmtId="0" fontId="70" fillId="10" borderId="15" xfId="0" applyFont="1" applyFill="1" applyBorder="1" applyAlignment="1">
      <alignment horizontal="center" vertical="center"/>
    </xf>
    <xf numFmtId="0" fontId="71" fillId="2" borderId="90" xfId="0" applyFont="1" applyFill="1" applyBorder="1" applyAlignment="1">
      <alignment horizontal="center" vertical="center"/>
    </xf>
    <xf numFmtId="0" fontId="71" fillId="2" borderId="85" xfId="0" applyFont="1" applyFill="1" applyBorder="1" applyAlignment="1">
      <alignment horizontal="center" vertical="center"/>
    </xf>
    <xf numFmtId="0" fontId="71" fillId="2" borderId="91" xfId="0" applyFont="1" applyFill="1" applyBorder="1" applyAlignment="1">
      <alignment horizontal="center" vertical="center"/>
    </xf>
    <xf numFmtId="0" fontId="71" fillId="2" borderId="86" xfId="0" applyFont="1" applyFill="1" applyBorder="1" applyAlignment="1">
      <alignment horizontal="center" vertical="center"/>
    </xf>
    <xf numFmtId="0" fontId="72" fillId="2" borderId="91" xfId="0" applyFont="1" applyFill="1" applyBorder="1" applyAlignment="1">
      <alignment horizontal="center" vertical="center"/>
    </xf>
    <xf numFmtId="0" fontId="72" fillId="2" borderId="86" xfId="0" applyFont="1" applyFill="1" applyBorder="1" applyAlignment="1">
      <alignment horizontal="center" vertical="center"/>
    </xf>
    <xf numFmtId="176" fontId="72" fillId="2" borderId="95" xfId="0" applyNumberFormat="1" applyFont="1" applyFill="1" applyBorder="1" applyAlignment="1">
      <alignment horizontal="center" vertical="center"/>
    </xf>
    <xf numFmtId="176" fontId="72" fillId="2" borderId="96" xfId="0" applyNumberFormat="1" applyFont="1" applyFill="1" applyBorder="1" applyAlignment="1">
      <alignment horizontal="center" vertical="center"/>
    </xf>
    <xf numFmtId="0" fontId="54" fillId="15" borderId="28" xfId="0" applyFont="1" applyFill="1" applyBorder="1" applyAlignment="1">
      <alignment horizontal="center" vertical="center"/>
    </xf>
    <xf numFmtId="0" fontId="54" fillId="15" borderId="41" xfId="0" applyFont="1" applyFill="1" applyBorder="1" applyAlignment="1">
      <alignment horizontal="center" vertical="center"/>
    </xf>
    <xf numFmtId="0" fontId="54" fillId="11" borderId="49" xfId="0" applyFont="1" applyFill="1" applyBorder="1" applyAlignment="1">
      <alignment horizontal="center" vertical="center" wrapText="1"/>
    </xf>
    <xf numFmtId="0" fontId="54" fillId="11" borderId="50" xfId="0" applyFont="1" applyFill="1" applyBorder="1" applyAlignment="1">
      <alignment horizontal="center" vertical="center" wrapText="1"/>
    </xf>
    <xf numFmtId="0" fontId="54" fillId="13" borderId="49" xfId="0" applyFont="1" applyFill="1" applyBorder="1" applyAlignment="1">
      <alignment horizontal="center" vertical="center" wrapText="1"/>
    </xf>
    <xf numFmtId="0" fontId="54" fillId="13" borderId="51" xfId="0" applyFont="1" applyFill="1" applyBorder="1" applyAlignment="1">
      <alignment horizontal="center" vertical="center" wrapText="1"/>
    </xf>
    <xf numFmtId="0" fontId="66" fillId="11" borderId="49" xfId="0" applyFont="1" applyFill="1" applyBorder="1" applyAlignment="1">
      <alignment horizontal="center" vertical="center" wrapText="1"/>
    </xf>
    <xf numFmtId="0" fontId="66" fillId="11" borderId="50" xfId="0" applyFont="1" applyFill="1" applyBorder="1" applyAlignment="1">
      <alignment horizontal="center" vertical="center" wrapText="1"/>
    </xf>
    <xf numFmtId="0" fontId="54" fillId="11" borderId="51" xfId="0" applyFont="1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 wrapText="1"/>
    </xf>
    <xf numFmtId="0" fontId="0" fillId="5" borderId="27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8" borderId="23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5" borderId="39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 wrapText="1"/>
    </xf>
    <xf numFmtId="0" fontId="45" fillId="12" borderId="2" xfId="0" applyFont="1" applyFill="1" applyBorder="1" applyAlignment="1">
      <alignment vertical="center" wrapText="1"/>
    </xf>
  </cellXfs>
  <cellStyles count="4">
    <cellStyle name="쉼표 [0]" xfId="1" builtinId="6"/>
    <cellStyle name="쉼표 [0] 2" xfId="3" xr:uid="{00000000-0005-0000-0000-000001000000}"/>
    <cellStyle name="표준" xfId="0" builtinId="0"/>
    <cellStyle name="하이퍼링크" xfId="2" builtinId="8"/>
  </cellStyles>
  <dxfs count="2">
    <dxf>
      <font>
        <b/>
        <i val="0"/>
        <color rgb="FFC00000"/>
      </font>
    </dxf>
    <dxf>
      <font>
        <b/>
        <i val="0"/>
        <color rgb="FFC00000"/>
      </font>
    </dxf>
  </dxfs>
  <tableStyles count="0" defaultTableStyle="TableStyleMedium2" defaultPivotStyle="PivotStyleLight16"/>
  <colors>
    <mruColors>
      <color rgb="FF0B1ED7"/>
      <color rgb="FFFFFFCC"/>
      <color rgb="FFCCCCFF"/>
      <color rgb="FFDDDDDD"/>
      <color rgb="FFFFCC00"/>
      <color rgb="FFC9D64E"/>
      <color rgb="FFFF99FF"/>
      <color rgb="FFF52B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2880;&#45436;&#54028;&#51068;\0.%20&#48376;&#48512;&#48324;%20&#50629;&#47924;&#54788;&#54889;\8.%20&#48277;&#51064;&#50689;&#50629;&#45800;(2025&#45380;)\30.%20&#54532;&#47196;&#47784;&#49496;\10.%20&#50900;&#48324;%20&#53945;&#54032;&#51221;&#52293;\25&#45380;%203&#48516;&#44592;\(&#44277;&#51648;)%20&#44592;&#50629;&#50689;&#50629;&#54016;%20&#53945;&#54032;(&#54260;&#45908;&#48660;7)_1&#54840;(0722%20~%20)_v1(&#44277;&#51648;&#50857;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2880;&#45436;&#54028;&#51068;\0.%20&#48376;&#48512;&#48324;%20&#50629;&#47924;&#54788;&#54889;\8.%20&#48277;&#51064;&#50689;&#50629;&#45800;(2025&#45380;)\30.%20&#54532;&#47196;&#47784;&#49496;\10.%20&#50900;&#48324;%20&#53945;&#54032;&#51221;&#52293;\25&#45380;%203&#48516;&#44592;\(&#44277;&#51648;)%20&#44592;&#50629;&#50689;&#50629;&#54016;%20&#53945;&#54032;_&#50500;&#51060;&#54256;17(0819%20~%20)_v1(&#44277;&#51648;&#5085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그린폰단가"/>
      <sheetName val="영업기회 및 사번"/>
      <sheetName val="안내"/>
      <sheetName val="주요정책 및 유의사항"/>
      <sheetName val="Sheet1"/>
      <sheetName val="사내 MGM_폴더블(0722 ~)"/>
      <sheetName val="Sheet2"/>
      <sheetName val="개별접수 URL"/>
      <sheetName val="자동계산기"/>
      <sheetName val="공통지원금"/>
      <sheetName val="공시지원금"/>
      <sheetName val="정책적용 요금제_LTE"/>
      <sheetName val="정책적용 요금제_5G"/>
      <sheetName val="전환지원금_47K미만"/>
      <sheetName val="출고가"/>
      <sheetName val="구분자"/>
      <sheetName val="정책서 정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">
          <cell r="C1">
            <v>0</v>
          </cell>
          <cell r="D1">
            <v>0</v>
          </cell>
        </row>
        <row r="2">
          <cell r="C2" t="str">
            <v>5G모델</v>
          </cell>
          <cell r="D2" t="str">
            <v>펫네임</v>
          </cell>
        </row>
        <row r="3">
          <cell r="C3" t="str">
            <v>AIPSE3-64</v>
          </cell>
          <cell r="D3" t="str">
            <v>iPhone SE 3세대 64G</v>
          </cell>
        </row>
        <row r="4">
          <cell r="C4" t="str">
            <v>AIPSE3-128</v>
          </cell>
          <cell r="D4" t="str">
            <v>iPhone SE 3세대 128G</v>
          </cell>
        </row>
        <row r="5">
          <cell r="C5" t="str">
            <v>AIPSE3-256</v>
          </cell>
          <cell r="D5" t="str">
            <v>iPhone SE 3세대 256G</v>
          </cell>
        </row>
        <row r="6">
          <cell r="C6" t="str">
            <v>AIPSE3-Y2K</v>
          </cell>
          <cell r="D6" t="str">
            <v>iPhone SE3 Y2K팩</v>
          </cell>
        </row>
        <row r="7">
          <cell r="C7" t="str">
            <v>AIP13M-128</v>
          </cell>
          <cell r="D7" t="str">
            <v>아이폰13 mini 128GB</v>
          </cell>
        </row>
        <row r="8">
          <cell r="C8" t="str">
            <v>AIP13M-256</v>
          </cell>
          <cell r="D8" t="str">
            <v>아이폰13 mini 256GB</v>
          </cell>
        </row>
        <row r="9">
          <cell r="C9" t="str">
            <v>AIP13M-512</v>
          </cell>
          <cell r="D9" t="str">
            <v>아이폰13 mini 512GB</v>
          </cell>
        </row>
        <row r="10">
          <cell r="C10" t="str">
            <v>AIP13-128</v>
          </cell>
          <cell r="D10" t="str">
            <v>아이폰13 128GB</v>
          </cell>
        </row>
        <row r="11">
          <cell r="C11" t="str">
            <v>AIP13-256</v>
          </cell>
          <cell r="D11" t="str">
            <v>아이폰13 256GB</v>
          </cell>
        </row>
        <row r="12">
          <cell r="C12" t="str">
            <v>AIP14-128</v>
          </cell>
          <cell r="D12" t="str">
            <v>iPhone 14 128G</v>
          </cell>
        </row>
        <row r="13">
          <cell r="C13" t="str">
            <v>AIP14-256</v>
          </cell>
          <cell r="D13" t="str">
            <v>iPhone 14 256G</v>
          </cell>
        </row>
        <row r="14">
          <cell r="C14" t="str">
            <v>AIP14-512</v>
          </cell>
          <cell r="D14" t="str">
            <v>iPhone 14 512G</v>
          </cell>
        </row>
        <row r="15">
          <cell r="C15" t="str">
            <v>AIP14PS-128</v>
          </cell>
          <cell r="D15" t="str">
            <v>iPhone 14 Plus 128G</v>
          </cell>
        </row>
        <row r="16">
          <cell r="C16" t="str">
            <v>AIP14PS-256</v>
          </cell>
          <cell r="D16" t="str">
            <v>iPhone 14 Plus 256G</v>
          </cell>
        </row>
        <row r="17">
          <cell r="C17" t="str">
            <v>AIP14PS-512</v>
          </cell>
          <cell r="D17" t="str">
            <v>iPhone 14 Plus 512G</v>
          </cell>
        </row>
        <row r="18">
          <cell r="C18" t="str">
            <v>AIP14P-128</v>
          </cell>
          <cell r="D18" t="str">
            <v>iPhone 14 Pro 128G</v>
          </cell>
        </row>
        <row r="19">
          <cell r="C19" t="str">
            <v>AIP14P-256</v>
          </cell>
          <cell r="D19" t="str">
            <v>iPhone 14 Pro 256G</v>
          </cell>
        </row>
        <row r="20">
          <cell r="C20" t="str">
            <v>AIP14P-512</v>
          </cell>
          <cell r="D20" t="str">
            <v>iPhone 14 Pro 512G</v>
          </cell>
        </row>
        <row r="21">
          <cell r="C21" t="str">
            <v>AIP14P-1T</v>
          </cell>
          <cell r="D21" t="str">
            <v>iPhone 14 Pro 1T</v>
          </cell>
        </row>
        <row r="22">
          <cell r="C22" t="str">
            <v>AIP14PM-128</v>
          </cell>
          <cell r="D22" t="str">
            <v>iPhone 14 Pro Max 128G</v>
          </cell>
        </row>
        <row r="23">
          <cell r="C23" t="str">
            <v>AIP14PM-256</v>
          </cell>
          <cell r="D23" t="str">
            <v>iPhone 14 Pro Max 256G</v>
          </cell>
        </row>
        <row r="24">
          <cell r="C24" t="str">
            <v>AIP14PM-512</v>
          </cell>
          <cell r="D24" t="str">
            <v>iPhone 14 Pro Max 512G</v>
          </cell>
        </row>
        <row r="25">
          <cell r="C25" t="str">
            <v>AIP14PM-1T</v>
          </cell>
          <cell r="D25" t="str">
            <v>iPhone 14 Pro Max 1T</v>
          </cell>
        </row>
        <row r="26">
          <cell r="C26" t="str">
            <v>AIP15-128</v>
          </cell>
          <cell r="D26" t="str">
            <v>iPhone 15 128G</v>
          </cell>
        </row>
        <row r="27">
          <cell r="C27" t="str">
            <v>AIP15-256</v>
          </cell>
          <cell r="D27" t="str">
            <v>iPhone 15 256G</v>
          </cell>
        </row>
        <row r="28">
          <cell r="C28" t="str">
            <v>AIP15-512</v>
          </cell>
          <cell r="D28" t="str">
            <v>iPhone 15 512G</v>
          </cell>
        </row>
        <row r="29">
          <cell r="C29" t="str">
            <v>AIP15PS-128</v>
          </cell>
          <cell r="D29" t="str">
            <v>iPhone 15 Plus 128G</v>
          </cell>
        </row>
        <row r="30">
          <cell r="C30" t="str">
            <v>AIP15PS-256</v>
          </cell>
          <cell r="D30" t="str">
            <v>iPhone 15 Plus 256G</v>
          </cell>
        </row>
        <row r="31">
          <cell r="C31" t="str">
            <v>AIP15PS-512</v>
          </cell>
          <cell r="D31" t="str">
            <v>iPhone 15 Plus 512G</v>
          </cell>
        </row>
        <row r="32">
          <cell r="C32" t="str">
            <v>AIP15P-128</v>
          </cell>
          <cell r="D32" t="str">
            <v>iPhone 15 Pro 128G</v>
          </cell>
        </row>
        <row r="33">
          <cell r="C33" t="str">
            <v>AIP15P-256</v>
          </cell>
          <cell r="D33" t="str">
            <v>iPhone 15 Pro 256G</v>
          </cell>
        </row>
        <row r="34">
          <cell r="C34" t="str">
            <v>AIP15P-512</v>
          </cell>
          <cell r="D34" t="str">
            <v>iPhone 15 Pro 512G</v>
          </cell>
        </row>
        <row r="35">
          <cell r="C35" t="str">
            <v>AIP15P-1T</v>
          </cell>
          <cell r="D35" t="str">
            <v>iPhone 15 Pro 1T</v>
          </cell>
        </row>
        <row r="36">
          <cell r="C36" t="str">
            <v>AIP15PM-256</v>
          </cell>
          <cell r="D36" t="str">
            <v>iPhone 15 Pro Max 256G</v>
          </cell>
        </row>
        <row r="37">
          <cell r="C37" t="str">
            <v>AIP15PM-512</v>
          </cell>
          <cell r="D37" t="str">
            <v>iPhone 15 Pro Max 512G</v>
          </cell>
        </row>
        <row r="38">
          <cell r="C38" t="str">
            <v>AIP15PM-1T</v>
          </cell>
          <cell r="D38" t="str">
            <v>iPhone 15 Pro Max 1T</v>
          </cell>
        </row>
        <row r="39">
          <cell r="C39" t="str">
            <v>AIP16-128</v>
          </cell>
          <cell r="D39" t="str">
            <v>iPhone 16 128G</v>
          </cell>
        </row>
        <row r="40">
          <cell r="C40" t="str">
            <v>AIP16-256</v>
          </cell>
          <cell r="D40" t="str">
            <v>iPhone 16 256G</v>
          </cell>
        </row>
        <row r="41">
          <cell r="C41" t="str">
            <v>AIP16-512</v>
          </cell>
          <cell r="D41" t="str">
            <v>iPhone 16 512G</v>
          </cell>
        </row>
        <row r="42">
          <cell r="C42" t="str">
            <v>AIP16PS-128</v>
          </cell>
          <cell r="D42" t="str">
            <v>iPhone 16 Plus 128G</v>
          </cell>
        </row>
        <row r="43">
          <cell r="C43" t="str">
            <v>AIP16PS-256</v>
          </cell>
          <cell r="D43" t="str">
            <v>iPhone 16 Plus 256G</v>
          </cell>
        </row>
        <row r="44">
          <cell r="C44" t="str">
            <v>AIP16PS-512</v>
          </cell>
          <cell r="D44" t="str">
            <v>iPhone 16 Plus 512G</v>
          </cell>
        </row>
        <row r="45">
          <cell r="C45" t="str">
            <v>AIP16P-128</v>
          </cell>
          <cell r="D45" t="str">
            <v>iPhone 16 Pro 128G</v>
          </cell>
        </row>
        <row r="46">
          <cell r="C46" t="str">
            <v>AIP16P-256</v>
          </cell>
          <cell r="D46" t="str">
            <v>iPhone 16 Pro 256G</v>
          </cell>
        </row>
        <row r="47">
          <cell r="C47" t="str">
            <v>AIP16P-512</v>
          </cell>
          <cell r="D47" t="str">
            <v>iPhone 16 Pro 512G</v>
          </cell>
        </row>
        <row r="48">
          <cell r="C48" t="str">
            <v>AIP16P-1T</v>
          </cell>
          <cell r="D48" t="str">
            <v>iPhone 16 Pro 1T</v>
          </cell>
        </row>
        <row r="49">
          <cell r="C49" t="str">
            <v>AIP16PM-256</v>
          </cell>
          <cell r="D49" t="str">
            <v>iPhone 16 Pro Max 256G</v>
          </cell>
        </row>
        <row r="50">
          <cell r="C50" t="str">
            <v>AIP16PM-512</v>
          </cell>
          <cell r="D50" t="str">
            <v>iPhone 16 Pro Max 512G</v>
          </cell>
        </row>
        <row r="51">
          <cell r="C51" t="str">
            <v>AIP16PM-1T</v>
          </cell>
          <cell r="D51" t="str">
            <v>iPhone 16 Pro Max 1T</v>
          </cell>
        </row>
        <row r="52">
          <cell r="C52" t="str">
            <v>AIP16E-128</v>
          </cell>
          <cell r="D52" t="str">
            <v>iPhone 16e 128G</v>
          </cell>
        </row>
        <row r="53">
          <cell r="C53" t="str">
            <v>AIP16E-256</v>
          </cell>
          <cell r="D53" t="str">
            <v>iPhone 16e 256G</v>
          </cell>
        </row>
        <row r="54">
          <cell r="C54" t="str">
            <v>AIP16E-512</v>
          </cell>
          <cell r="D54" t="str">
            <v>iPhone 16e 512G</v>
          </cell>
        </row>
        <row r="55">
          <cell r="C55" t="str">
            <v>SM-S931NK</v>
          </cell>
          <cell r="D55" t="str">
            <v>갤럭시S25 (256GB)</v>
          </cell>
        </row>
        <row r="56">
          <cell r="C56" t="str">
            <v>SM-S931NK512</v>
          </cell>
          <cell r="D56" t="str">
            <v>갤럭시S25 (512GB)</v>
          </cell>
        </row>
        <row r="57">
          <cell r="C57" t="str">
            <v>SM-S936NK</v>
          </cell>
          <cell r="D57" t="str">
            <v>갤럭시S25+ (256GB)</v>
          </cell>
        </row>
        <row r="58">
          <cell r="C58" t="str">
            <v>SM-S936NK512</v>
          </cell>
          <cell r="D58" t="str">
            <v>갤럭시S25+ (512GB)</v>
          </cell>
        </row>
        <row r="59">
          <cell r="C59" t="str">
            <v>SM-S938NK</v>
          </cell>
          <cell r="D59" t="str">
            <v>갤럭시S25 울트라 (256GB)</v>
          </cell>
        </row>
        <row r="60">
          <cell r="C60" t="str">
            <v>SM-S938NK512</v>
          </cell>
          <cell r="D60" t="str">
            <v>갤럭시S25 울트라 (512GB)</v>
          </cell>
        </row>
        <row r="61">
          <cell r="C61" t="str">
            <v>SM-S937NK</v>
          </cell>
          <cell r="D61" t="str">
            <v>갤럭시S25 엣지 (256GB)</v>
          </cell>
        </row>
        <row r="62">
          <cell r="C62" t="str">
            <v>SM-S937NK512</v>
          </cell>
          <cell r="D62" t="str">
            <v>갤럭시S25 엣지 (512GB)</v>
          </cell>
        </row>
        <row r="63">
          <cell r="C63" t="str">
            <v>SM-S921NK</v>
          </cell>
          <cell r="D63" t="str">
            <v>갤럭시S24 (256GB)</v>
          </cell>
        </row>
        <row r="64">
          <cell r="C64" t="str">
            <v>SM-S921NK512</v>
          </cell>
          <cell r="D64" t="str">
            <v>갤럭시S24 (512GB)</v>
          </cell>
        </row>
        <row r="65">
          <cell r="C65" t="str">
            <v>SM-S926NK</v>
          </cell>
          <cell r="D65" t="str">
            <v>갤럭시S24+ (256GB)</v>
          </cell>
        </row>
        <row r="66">
          <cell r="C66" t="str">
            <v>SM-S926NK512</v>
          </cell>
          <cell r="D66" t="str">
            <v>갤럭시S24+ (512GB)</v>
          </cell>
        </row>
        <row r="67">
          <cell r="C67" t="str">
            <v>SM-S928NK</v>
          </cell>
          <cell r="D67" t="str">
            <v>갤럭시S24 울트라 (256GB)</v>
          </cell>
        </row>
        <row r="68">
          <cell r="C68" t="str">
            <v>SM-S928NK512</v>
          </cell>
          <cell r="D68" t="str">
            <v>갤럭시S24 울트라 (512GB)</v>
          </cell>
        </row>
        <row r="69">
          <cell r="C69" t="str">
            <v>SM-S721NK</v>
          </cell>
          <cell r="D69" t="str">
            <v>갤럭시S24FE(256GB)</v>
          </cell>
        </row>
        <row r="70">
          <cell r="C70" t="str">
            <v>SM-S911NK</v>
          </cell>
          <cell r="D70" t="str">
            <v>갤럭시S23 (256GB)</v>
          </cell>
        </row>
        <row r="71">
          <cell r="C71" t="str">
            <v>SM-S916NK</v>
          </cell>
          <cell r="D71" t="str">
            <v>갤럭시S23+ (256GB)</v>
          </cell>
        </row>
        <row r="72">
          <cell r="C72" t="str">
            <v>SM-S918NK</v>
          </cell>
          <cell r="D72" t="str">
            <v>갤럭시S23 울트라 (256GB)</v>
          </cell>
        </row>
        <row r="73">
          <cell r="C73" t="str">
            <v>SM-S911NK_PYE</v>
          </cell>
          <cell r="D73" t="str">
            <v>갤럭시S23 프리미엄 Y에디션(256GB)</v>
          </cell>
        </row>
        <row r="74">
          <cell r="C74" t="str">
            <v>SM-S911NK512</v>
          </cell>
          <cell r="D74" t="str">
            <v>갤럭시S23 (512GB)</v>
          </cell>
        </row>
        <row r="75">
          <cell r="C75" t="str">
            <v>SM-S916NK512</v>
          </cell>
          <cell r="D75" t="str">
            <v>갤럭시S23+ (512GB)</v>
          </cell>
        </row>
        <row r="76">
          <cell r="C76" t="str">
            <v>SM-S918NK512</v>
          </cell>
          <cell r="D76" t="str">
            <v>갤럭시S23 울트라 (512GB)</v>
          </cell>
        </row>
        <row r="77">
          <cell r="C77" t="str">
            <v>SM-S901NK</v>
          </cell>
          <cell r="D77" t="str">
            <v>갤럭시S22</v>
          </cell>
        </row>
        <row r="78">
          <cell r="C78" t="str">
            <v>SM-S711NK</v>
          </cell>
          <cell r="D78" t="str">
            <v>갤럭시S23FE(256GB)</v>
          </cell>
        </row>
        <row r="79">
          <cell r="C79" t="str">
            <v>SM-S906NK</v>
          </cell>
          <cell r="D79" t="str">
            <v>갤럭시S22+</v>
          </cell>
        </row>
        <row r="80">
          <cell r="C80" t="str">
            <v>SM-S908NK</v>
          </cell>
          <cell r="D80" t="str">
            <v>갤럭시S22 울트라(256GB)</v>
          </cell>
        </row>
        <row r="81">
          <cell r="C81" t="str">
            <v>SM-S908NK512</v>
          </cell>
          <cell r="D81" t="str">
            <v>갤럭시S22 울트라(512GB)</v>
          </cell>
        </row>
        <row r="82">
          <cell r="C82" t="str">
            <v>SM-F766NK</v>
          </cell>
          <cell r="D82" t="str">
            <v>갤럭시 Z Flip7</v>
          </cell>
        </row>
        <row r="83">
          <cell r="C83" t="str">
            <v>SM-F766NK512</v>
          </cell>
          <cell r="D83" t="str">
            <v>갤럭시 Z Flip7 512GB</v>
          </cell>
        </row>
        <row r="84">
          <cell r="C84" t="str">
            <v>SM-F966NK</v>
          </cell>
          <cell r="D84" t="str">
            <v>갤럭시 Z Fold7</v>
          </cell>
        </row>
        <row r="85">
          <cell r="C85" t="str">
            <v>SM-F966NK512</v>
          </cell>
          <cell r="D85" t="str">
            <v>갤럭시 Z Fold7 512GB</v>
          </cell>
        </row>
        <row r="86">
          <cell r="C86" t="str">
            <v>SM-F741NK</v>
          </cell>
          <cell r="D86" t="str">
            <v>갤럭시 Z Flip6</v>
          </cell>
        </row>
        <row r="87">
          <cell r="C87" t="str">
            <v>SM-F741NK512</v>
          </cell>
          <cell r="D87" t="str">
            <v>갤럭시 Z Flip6 512GB</v>
          </cell>
        </row>
        <row r="88">
          <cell r="C88" t="str">
            <v>SM-F956NK</v>
          </cell>
          <cell r="D88" t="str">
            <v>갤럭시 Z Fold6</v>
          </cell>
        </row>
        <row r="89">
          <cell r="C89" t="str">
            <v>SM-F956NK512</v>
          </cell>
          <cell r="D89" t="str">
            <v>갤럭시 Z Fold6 512GB</v>
          </cell>
        </row>
        <row r="90">
          <cell r="C90" t="str">
            <v>SM-F731NK</v>
          </cell>
          <cell r="D90" t="str">
            <v>갤럭시 Z Flip5</v>
          </cell>
        </row>
        <row r="91">
          <cell r="C91" t="str">
            <v>SM-F946NK</v>
          </cell>
          <cell r="D91" t="str">
            <v>갤럭시 Z Fold5</v>
          </cell>
        </row>
        <row r="92">
          <cell r="C92" t="str">
            <v>SM-F731NK512</v>
          </cell>
          <cell r="D92" t="str">
            <v>갤럭시 Z Flip5 512GB</v>
          </cell>
        </row>
        <row r="93">
          <cell r="C93" t="str">
            <v>SM-F946NK512</v>
          </cell>
          <cell r="D93" t="str">
            <v>갤럭시 Z Fold5 512GB</v>
          </cell>
        </row>
        <row r="94">
          <cell r="C94" t="str">
            <v>SM-F936NK</v>
          </cell>
          <cell r="D94" t="str">
            <v>갤럭시 Z Fold4</v>
          </cell>
        </row>
        <row r="95">
          <cell r="C95" t="str">
            <v>SM-F936NK512</v>
          </cell>
          <cell r="D95" t="str">
            <v>갤럭시 Z Fold4 512GB</v>
          </cell>
        </row>
        <row r="96">
          <cell r="C96" t="str">
            <v>SM-F721NK</v>
          </cell>
          <cell r="D96" t="str">
            <v>갤럭시 Z Flip4</v>
          </cell>
        </row>
        <row r="97">
          <cell r="C97" t="str">
            <v>SM-F721NK512</v>
          </cell>
          <cell r="D97" t="str">
            <v>갤럭시 Z Flip4 512GB</v>
          </cell>
        </row>
        <row r="98">
          <cell r="C98" t="str">
            <v>SM-A366NK</v>
          </cell>
          <cell r="D98" t="str">
            <v>갤럭시 A36(5G)</v>
          </cell>
        </row>
        <row r="99">
          <cell r="C99" t="str">
            <v>SM-A356NK</v>
          </cell>
          <cell r="D99" t="str">
            <v>갤럭시 A35(5G)</v>
          </cell>
        </row>
        <row r="100">
          <cell r="C100" t="str">
            <v>SM-A346NK</v>
          </cell>
          <cell r="D100" t="str">
            <v>갤럭시 A34(5G)</v>
          </cell>
        </row>
        <row r="101">
          <cell r="C101" t="str">
            <v>SM-M366K</v>
          </cell>
          <cell r="D101" t="str">
            <v>Galaxy Jump4</v>
          </cell>
        </row>
        <row r="102">
          <cell r="C102" t="str">
            <v>SM-M446K</v>
          </cell>
          <cell r="D102" t="str">
            <v>Galaxy Jump3</v>
          </cell>
        </row>
        <row r="103">
          <cell r="C103" t="str">
            <v>MI-RMN12P5GK</v>
          </cell>
          <cell r="D103" t="str">
            <v>샤오미 레드미 노트 12 Pro Plus 5G</v>
          </cell>
        </row>
        <row r="104">
          <cell r="C104" t="str">
            <v>MI-RMN13P5GK</v>
          </cell>
          <cell r="D104" t="str">
            <v>샤오미 레드미 노트 13 Pro 5G</v>
          </cell>
        </row>
        <row r="105">
          <cell r="C105" t="str">
            <v>MI-RMN13P5GK-512</v>
          </cell>
          <cell r="D105" t="str">
            <v>샤오미 레드미 노트 13 Pro 5G 512</v>
          </cell>
        </row>
        <row r="106">
          <cell r="C106" t="str">
            <v>SM-A256NK</v>
          </cell>
          <cell r="D106" t="str">
            <v>갤럭시 A25(5G)</v>
          </cell>
        </row>
        <row r="107">
          <cell r="C107" t="str">
            <v>SM-A245NK</v>
          </cell>
          <cell r="D107" t="str">
            <v>갤럭시 A24</v>
          </cell>
        </row>
        <row r="108">
          <cell r="C108" t="str">
            <v>SM-A336NK</v>
          </cell>
          <cell r="D108" t="str">
            <v>갤럭시 A33 5G</v>
          </cell>
        </row>
        <row r="109">
          <cell r="C109" t="str">
            <v>SM-M336K_MOM</v>
          </cell>
          <cell r="D109" t="str">
            <v>맘편안폰2</v>
          </cell>
        </row>
        <row r="110">
          <cell r="C110" t="str">
            <v>SM-M336K</v>
          </cell>
          <cell r="D110" t="str">
            <v>Galaxy Jump2</v>
          </cell>
        </row>
        <row r="111">
          <cell r="C111">
            <v>0</v>
          </cell>
          <cell r="D111">
            <v>0</v>
          </cell>
        </row>
        <row r="112">
          <cell r="C112">
            <v>0</v>
          </cell>
        </row>
        <row r="113">
          <cell r="C113" t="str">
            <v>LTE모델</v>
          </cell>
          <cell r="D113" t="str">
            <v>펫네임</v>
          </cell>
        </row>
        <row r="114">
          <cell r="C114" t="str">
            <v>AIP11-128_2022</v>
          </cell>
          <cell r="D114" t="str">
            <v>iPhone 11 128GB (2022)</v>
          </cell>
        </row>
        <row r="115">
          <cell r="C115" t="str">
            <v>SM-A165NK</v>
          </cell>
          <cell r="D115" t="str">
            <v>갤럭시 A16</v>
          </cell>
        </row>
        <row r="116">
          <cell r="C116" t="str">
            <v>SM-A155NK</v>
          </cell>
          <cell r="D116" t="str">
            <v>갤럭시 A15</v>
          </cell>
        </row>
        <row r="117">
          <cell r="C117" t="str">
            <v>SM-A245NK</v>
          </cell>
          <cell r="D117" t="str">
            <v>갤럭시 A24</v>
          </cell>
        </row>
        <row r="118">
          <cell r="C118" t="str">
            <v>SM-A235NK</v>
          </cell>
          <cell r="D118" t="str">
            <v>갤럭시 A23</v>
          </cell>
        </row>
        <row r="119">
          <cell r="C119" t="str">
            <v>SM-A135NK</v>
          </cell>
          <cell r="D119" t="str">
            <v>갤럭시 A13</v>
          </cell>
        </row>
        <row r="120">
          <cell r="C120" t="str">
            <v>SM-G525NK-KP3</v>
          </cell>
          <cell r="D120" t="str">
            <v>신비키즈폰3</v>
          </cell>
        </row>
        <row r="121">
          <cell r="C121" t="str">
            <v>MI-RMN12K</v>
          </cell>
          <cell r="D121" t="str">
            <v>레드미 노트 12</v>
          </cell>
        </row>
        <row r="122">
          <cell r="C122" t="str">
            <v>AT-M120K</v>
          </cell>
          <cell r="D122" t="str">
            <v>스타일 폴더(화이트)</v>
          </cell>
        </row>
        <row r="123">
          <cell r="C123" t="str">
            <v>AT-M120K</v>
          </cell>
          <cell r="D123" t="str">
            <v>스타일 폴더(블랙)</v>
          </cell>
        </row>
        <row r="124">
          <cell r="C124" t="str">
            <v>MI-RMN13K</v>
          </cell>
          <cell r="D124" t="str">
            <v>샤오미 레드미 노트 13</v>
          </cell>
        </row>
        <row r="125">
          <cell r="C125">
            <v>0</v>
          </cell>
          <cell r="D125">
            <v>0</v>
          </cell>
        </row>
        <row r="126">
          <cell r="C126">
            <v>0</v>
          </cell>
          <cell r="D126">
            <v>0</v>
          </cell>
        </row>
        <row r="127">
          <cell r="C127" t="str">
            <v>모델명</v>
          </cell>
          <cell r="D127" t="str">
            <v>펫네임</v>
          </cell>
        </row>
        <row r="128">
          <cell r="C128" t="str">
            <v>AWSE2C-40ASBST</v>
          </cell>
          <cell r="D128" t="str">
            <v>Apple Watch SE 40mm 스타라이트 알류미늄</v>
          </cell>
        </row>
        <row r="129">
          <cell r="C129" t="str">
            <v>AWSE2C-40ASBM</v>
          </cell>
          <cell r="D129" t="str">
            <v>Apple Watch SE 40mm 미드나이트 알류미늄</v>
          </cell>
        </row>
        <row r="130">
          <cell r="C130" t="str">
            <v>AWSE2C-40ASBW</v>
          </cell>
          <cell r="D130" t="str">
            <v>Apple Watch SE 40mm 실버 알류미늄</v>
          </cell>
        </row>
        <row r="131">
          <cell r="C131" t="str">
            <v>AWSE2C-44ASBST</v>
          </cell>
          <cell r="D131" t="str">
            <v>Apple Watch SE 44mm 스타라이트 알류미늄</v>
          </cell>
        </row>
        <row r="132">
          <cell r="C132" t="str">
            <v>AWSE2C-44ASBM</v>
          </cell>
          <cell r="D132" t="str">
            <v>Apple Watch SE 44mm 미드나이트 알류미늄</v>
          </cell>
        </row>
        <row r="133">
          <cell r="C133" t="str">
            <v>AWSE2C-44ASBW</v>
          </cell>
          <cell r="D133" t="str">
            <v>Apple Watch SE 44mm 실버 알류미늄</v>
          </cell>
        </row>
        <row r="134">
          <cell r="C134" t="str">
            <v>AWSE2NC-40ASBST</v>
          </cell>
          <cell r="D134" t="str">
            <v>Apple Watch SE2 40mm 스타라이트 알류미늄</v>
          </cell>
        </row>
        <row r="135">
          <cell r="C135" t="str">
            <v>AWSE2NC-40ASBM</v>
          </cell>
          <cell r="D135" t="str">
            <v>Apple Watch SE2 40mm 미드나이트 알류미늄</v>
          </cell>
        </row>
        <row r="136">
          <cell r="C136" t="str">
            <v>AWSE2NC-40ASBW</v>
          </cell>
          <cell r="D136" t="str">
            <v>Apple Watch SE2 40mm 실버 알류미늄</v>
          </cell>
        </row>
        <row r="137">
          <cell r="C137" t="str">
            <v>AWSE2NC-44ASBST</v>
          </cell>
          <cell r="D137" t="str">
            <v>Apple Watch SE2 44mm 스타라이트 알류미늄</v>
          </cell>
        </row>
        <row r="138">
          <cell r="C138" t="str">
            <v>AWSE2NC-44ASBM</v>
          </cell>
          <cell r="D138" t="str">
            <v>Apple Watch SE2 44mm 미드나이트 알류미늄</v>
          </cell>
        </row>
        <row r="139">
          <cell r="C139" t="str">
            <v>AWSE2NC-44ASBW</v>
          </cell>
          <cell r="D139" t="str">
            <v>Apple Watch SE2 44mm 실버 알류미늄</v>
          </cell>
        </row>
        <row r="140">
          <cell r="C140" t="str">
            <v>AW8C-41ASBM</v>
          </cell>
          <cell r="D140" t="str">
            <v>Apple Watch Series 8 41mm 미드나이트 알류미늄</v>
          </cell>
        </row>
        <row r="141">
          <cell r="C141" t="str">
            <v>AW8C-41ASBST</v>
          </cell>
          <cell r="D141" t="str">
            <v>Apple Watch Series 8 41mm 스타라이트 알류미늄</v>
          </cell>
        </row>
        <row r="142">
          <cell r="C142" t="str">
            <v>AW8C-41ASBR</v>
          </cell>
          <cell r="D142" t="str">
            <v>Apple Watch Series 8 41mm 레드 알류미늄</v>
          </cell>
        </row>
        <row r="143">
          <cell r="C143" t="str">
            <v>AW8C-41ASBW</v>
          </cell>
          <cell r="D143" t="str">
            <v>Apple Watch Series 8 41mm 실버 알류미늄</v>
          </cell>
        </row>
        <row r="144">
          <cell r="C144" t="str">
            <v>AW8C-41SMLS</v>
          </cell>
          <cell r="D144" t="str">
            <v>Apple Watch Series 8 41mm 실버 스테인리스 스틸</v>
          </cell>
        </row>
        <row r="145">
          <cell r="C145" t="str">
            <v>AW8C-41SMLG</v>
          </cell>
          <cell r="D145" t="str">
            <v>Apple Watch Series 8 41mm 골드 스테인리스 스틸</v>
          </cell>
        </row>
        <row r="146">
          <cell r="C146" t="str">
            <v>AW8C-41SMLP</v>
          </cell>
          <cell r="D146" t="str">
            <v>Apple Watch Series 8 41mm 그래파이트 스테인리스 스틸</v>
          </cell>
        </row>
        <row r="147">
          <cell r="C147" t="str">
            <v>AW8C-45ASBM</v>
          </cell>
          <cell r="D147" t="str">
            <v>Apple Watch Series 8 45mm 미드나이트 알류미늄</v>
          </cell>
        </row>
        <row r="148">
          <cell r="C148" t="str">
            <v>AW8C-45ASBST</v>
          </cell>
          <cell r="D148" t="str">
            <v>Apple Watch Series 8 45mm 스타라이트 알류미늄</v>
          </cell>
        </row>
        <row r="149">
          <cell r="C149" t="str">
            <v>AW8C-45ASBR</v>
          </cell>
          <cell r="D149" t="str">
            <v>Apple Watch Series 8 45mm 레드 알류미늄</v>
          </cell>
        </row>
        <row r="150">
          <cell r="C150" t="str">
            <v>AW8C-45ASBW</v>
          </cell>
          <cell r="D150" t="str">
            <v>Apple Watch Series 8 45mm 실버 알류미늄</v>
          </cell>
        </row>
        <row r="151">
          <cell r="C151" t="str">
            <v>AW8C-45SMLS</v>
          </cell>
          <cell r="D151" t="str">
            <v>Apple Watch Series 8 45mm 실버 스테인리스 스틸</v>
          </cell>
        </row>
        <row r="152">
          <cell r="C152" t="str">
            <v>AW8C-45SMLG</v>
          </cell>
          <cell r="D152" t="str">
            <v>Apple Watch Series 8 45mm 골드 스테인리스 스틸</v>
          </cell>
        </row>
        <row r="153">
          <cell r="C153" t="str">
            <v>AW8C-45SMLP</v>
          </cell>
          <cell r="D153" t="str">
            <v>Apple Watch Series 8 45mm 그래파이트 스테인리스 스틸</v>
          </cell>
        </row>
        <row r="154">
          <cell r="C154" t="str">
            <v>AWUC-49TLB</v>
          </cell>
          <cell r="D154" t="str">
            <v>Apple Watch Ultra 49mm 블랙 티타늄</v>
          </cell>
        </row>
        <row r="155">
          <cell r="C155" t="str">
            <v>AWUC-49TOB</v>
          </cell>
          <cell r="D155" t="str">
            <v>Apple Watch Ultra 49mm 미드나이트 티타늄</v>
          </cell>
        </row>
        <row r="156">
          <cell r="C156" t="str">
            <v>AW9C-41ASBR</v>
          </cell>
          <cell r="D156" t="str">
            <v>Apple Watch Series 9 41mm 레드 알루미늄</v>
          </cell>
        </row>
        <row r="157">
          <cell r="C157" t="str">
            <v>AW9C-41ASBST</v>
          </cell>
          <cell r="D157" t="str">
            <v>Apple Watch Series 9 41mm 스타라이트 알루미늄</v>
          </cell>
        </row>
        <row r="158">
          <cell r="C158" t="str">
            <v>AW9C-41ASBM</v>
          </cell>
          <cell r="D158" t="str">
            <v>Apple Watch Series 9 41mm 미드나이트 알루미늄</v>
          </cell>
        </row>
        <row r="159">
          <cell r="C159" t="str">
            <v>AW9C-41ASBW</v>
          </cell>
          <cell r="D159" t="str">
            <v>Apple Watch Series 9 41mm 실버 알루미늄</v>
          </cell>
        </row>
        <row r="160">
          <cell r="C160" t="str">
            <v>AW9C-41ASBP</v>
          </cell>
          <cell r="D160" t="str">
            <v>Apple Watch Series 9 41mm 핑크 알루미늄</v>
          </cell>
        </row>
        <row r="161">
          <cell r="C161" t="str">
            <v>AW9C-41SMLS</v>
          </cell>
          <cell r="D161" t="str">
            <v>Apple Watch Series 9 41mm 실버 스테인리스 스틸</v>
          </cell>
        </row>
        <row r="162">
          <cell r="C162" t="str">
            <v>AW9C-41SMLG</v>
          </cell>
          <cell r="D162" t="str">
            <v>Apple Watch Series 9 41mm 골드 스테인리스 스틸</v>
          </cell>
        </row>
        <row r="163">
          <cell r="C163" t="str">
            <v>AW9C-41SMLP</v>
          </cell>
          <cell r="D163" t="str">
            <v>Apple Watch Series 9 41mm 그래파이트 스테인리스 스틸</v>
          </cell>
        </row>
        <row r="164">
          <cell r="C164" t="str">
            <v>AW9C-45ASBR</v>
          </cell>
          <cell r="D164" t="str">
            <v>Apple Watch Series 9 45mm 레드 알루미늄</v>
          </cell>
        </row>
        <row r="165">
          <cell r="C165" t="str">
            <v>AW9C-45ASBST</v>
          </cell>
          <cell r="D165" t="str">
            <v>Apple Watch Series 9 45mm 스타라이트 알루미늄</v>
          </cell>
        </row>
        <row r="166">
          <cell r="C166" t="str">
            <v>AW9C-45ASBM</v>
          </cell>
          <cell r="D166" t="str">
            <v>Apple Watch Series 9 45mm 미드나이트 알루미늄</v>
          </cell>
        </row>
        <row r="167">
          <cell r="C167" t="str">
            <v>AW9C-45ASBW</v>
          </cell>
          <cell r="D167" t="str">
            <v>Apple Watch Series 9 45mm 실버 알루미늄</v>
          </cell>
        </row>
        <row r="168">
          <cell r="C168" t="str">
            <v>AW9C-45ASBP</v>
          </cell>
          <cell r="D168" t="str">
            <v>Apple Watch Series 9 45mm 핑크 알루미늄</v>
          </cell>
        </row>
        <row r="169">
          <cell r="C169" t="str">
            <v>AW9C-45SMLS</v>
          </cell>
          <cell r="D169" t="str">
            <v>Apple Watch Series 9 45mm 실버 스테인리스 스틸</v>
          </cell>
        </row>
        <row r="170">
          <cell r="C170" t="str">
            <v>AW9C-45SMLG</v>
          </cell>
          <cell r="D170" t="str">
            <v>Apple Watch Series 9 45mm 골드 스테인리스 스틸</v>
          </cell>
        </row>
        <row r="171">
          <cell r="C171" t="str">
            <v>AW9C-45SMLP</v>
          </cell>
          <cell r="D171" t="str">
            <v>Apple Watch Series 9 45mm 그래파이트 스테인리스 스틸</v>
          </cell>
        </row>
        <row r="172">
          <cell r="C172" t="str">
            <v>AWU2C-49TOB</v>
          </cell>
          <cell r="D172" t="str">
            <v>Apple Watch Ultra2 49mm 오렌지 티타늄</v>
          </cell>
        </row>
        <row r="173">
          <cell r="C173" t="str">
            <v>AWU2C-49TAB</v>
          </cell>
          <cell r="D173" t="str">
            <v>Apple Watch Ultra2 49mm 블루 티타늄</v>
          </cell>
        </row>
        <row r="174">
          <cell r="C174" t="str">
            <v>AWU2C-49TLB</v>
          </cell>
          <cell r="D174" t="str">
            <v>Apple Watch Ultra2 49mm 블루블랙 티타늄</v>
          </cell>
        </row>
        <row r="175">
          <cell r="C175" t="str">
            <v>AW7CN-41ASBPB</v>
          </cell>
          <cell r="D175" t="str">
            <v>애플워치S7 나이키 41mm 스타라이트</v>
          </cell>
        </row>
        <row r="176">
          <cell r="C176" t="str">
            <v>AW7CN-41ASBAB</v>
          </cell>
          <cell r="D176" t="str">
            <v>애플워치S7 나이키 41mm 미드나이트</v>
          </cell>
        </row>
        <row r="177">
          <cell r="C177" t="str">
            <v>AW7CN-45ASBPB</v>
          </cell>
          <cell r="D177" t="str">
            <v>애플워치S7 나이키 45mm 스타라이트</v>
          </cell>
        </row>
        <row r="178">
          <cell r="C178" t="str">
            <v>AW7CN-45ASBAB</v>
          </cell>
          <cell r="D178" t="str">
            <v>애플워치S7 나이키 45mm 미드나이트</v>
          </cell>
        </row>
        <row r="179">
          <cell r="C179" t="str">
            <v>AW7C-41ASBB</v>
          </cell>
          <cell r="D179" t="str">
            <v>애플워치S7 41mm 미드나이트</v>
          </cell>
        </row>
        <row r="180">
          <cell r="C180" t="str">
            <v>AW7C-41ASBW</v>
          </cell>
          <cell r="D180" t="str">
            <v>애플워치S7 41mm 스타라이트</v>
          </cell>
        </row>
        <row r="181">
          <cell r="C181" t="str">
            <v>AW7C-41ASBC</v>
          </cell>
          <cell r="D181" t="str">
            <v>애플워치S7 41mm 그린</v>
          </cell>
        </row>
        <row r="182">
          <cell r="C182" t="str">
            <v>AW7C-41ASBL</v>
          </cell>
          <cell r="D182" t="str">
            <v>애플워치S7 41mm 블루</v>
          </cell>
        </row>
        <row r="183">
          <cell r="C183" t="str">
            <v>AW7C-41ASBR</v>
          </cell>
          <cell r="D183" t="str">
            <v>애플워치S7 41mm 레드</v>
          </cell>
        </row>
        <row r="184">
          <cell r="C184" t="str">
            <v>AW7C-41SMLS</v>
          </cell>
          <cell r="D184" t="str">
            <v>애플워치S7 41mm 실버</v>
          </cell>
        </row>
        <row r="185">
          <cell r="C185" t="str">
            <v>AW7C-41SMLG</v>
          </cell>
          <cell r="D185" t="str">
            <v>애플워치S7 41mm 골드</v>
          </cell>
        </row>
        <row r="186">
          <cell r="C186" t="str">
            <v>AW7C-41SMLP</v>
          </cell>
          <cell r="D186" t="str">
            <v>애플워치S7 41mm 그래파이트</v>
          </cell>
        </row>
        <row r="187">
          <cell r="C187" t="str">
            <v>AW7C-45ASBB</v>
          </cell>
          <cell r="D187" t="str">
            <v>애플워치S7 45mm 미드나이트</v>
          </cell>
        </row>
        <row r="188">
          <cell r="C188" t="str">
            <v>AW7C-45ASBW</v>
          </cell>
          <cell r="D188" t="str">
            <v>애플워치S7 45mm 스타라이트</v>
          </cell>
        </row>
        <row r="189">
          <cell r="C189" t="str">
            <v>AW7C-45ASBC</v>
          </cell>
          <cell r="D189" t="str">
            <v>애플워치S7 45mm 그린</v>
          </cell>
        </row>
        <row r="190">
          <cell r="C190" t="str">
            <v>AW7C-45ASBL</v>
          </cell>
          <cell r="D190" t="str">
            <v>애플워치S7 45mm 블루</v>
          </cell>
        </row>
        <row r="191">
          <cell r="C191" t="str">
            <v>AW7C-45ASBR</v>
          </cell>
          <cell r="D191" t="str">
            <v>애플워치S7 45mm 레드</v>
          </cell>
        </row>
        <row r="192">
          <cell r="C192" t="str">
            <v>AW7C-45SMLS</v>
          </cell>
          <cell r="D192" t="str">
            <v>애플워치S7 45mm 실버</v>
          </cell>
        </row>
        <row r="193">
          <cell r="C193" t="str">
            <v>AW7C-45SMLG</v>
          </cell>
          <cell r="D193" t="str">
            <v>애플워치S7 45mm 골드</v>
          </cell>
        </row>
        <row r="194">
          <cell r="C194" t="str">
            <v>AW7C-45SMLP</v>
          </cell>
          <cell r="D194" t="str">
            <v>애플워치S7 45mm 그래파이트</v>
          </cell>
        </row>
        <row r="195">
          <cell r="C195" t="str">
            <v>SM-L305NK</v>
          </cell>
          <cell r="D195" t="str">
            <v>갤럭시 워치7 40mm</v>
          </cell>
        </row>
        <row r="196">
          <cell r="C196" t="str">
            <v>SM-L315NK</v>
          </cell>
          <cell r="D196" t="str">
            <v>갤럭시 워치7 44mm</v>
          </cell>
        </row>
        <row r="197">
          <cell r="C197" t="str">
            <v>SM-L705NK</v>
          </cell>
          <cell r="D197" t="str">
            <v>갤럭시 워치 울트라</v>
          </cell>
        </row>
        <row r="198">
          <cell r="C198" t="str">
            <v>SM-R935NK</v>
          </cell>
          <cell r="D198" t="str">
            <v>갤럭시 워치6 40mm</v>
          </cell>
        </row>
        <row r="199">
          <cell r="C199" t="str">
            <v>SM-R945NK</v>
          </cell>
          <cell r="D199" t="str">
            <v>갤럭시 워치6 44mm</v>
          </cell>
        </row>
        <row r="200">
          <cell r="C200" t="str">
            <v>SM-R955NK</v>
          </cell>
          <cell r="D200" t="str">
            <v>갤럭시 워치6 클래식 43mm</v>
          </cell>
        </row>
        <row r="201">
          <cell r="C201" t="str">
            <v>SM-R965NK</v>
          </cell>
          <cell r="D201" t="str">
            <v>갤럭시 워치6 클래식 47mm</v>
          </cell>
        </row>
        <row r="202">
          <cell r="C202" t="str">
            <v>SM-R905NK</v>
          </cell>
          <cell r="D202" t="str">
            <v>갤럭시 워치5 40</v>
          </cell>
        </row>
        <row r="203">
          <cell r="C203" t="str">
            <v>SM-R915NK</v>
          </cell>
          <cell r="D203" t="str">
            <v>갤럭시 워치5 44</v>
          </cell>
        </row>
        <row r="204">
          <cell r="C204" t="str">
            <v>SM-R925NK</v>
          </cell>
          <cell r="D204" t="str">
            <v>갤럭시 워치5 프로</v>
          </cell>
        </row>
        <row r="205">
          <cell r="C205" t="str">
            <v>SM-R925NKGOLF</v>
          </cell>
          <cell r="D205" t="str">
            <v>갤럭시 워치5 프로 골프</v>
          </cell>
        </row>
        <row r="206">
          <cell r="C206" t="str">
            <v>SM-R875NKGOLF</v>
          </cell>
          <cell r="D206" t="str">
            <v>갤럭시워치4 44mm 골프</v>
          </cell>
        </row>
        <row r="207">
          <cell r="C207" t="str">
            <v>SM-R865NKGOLF</v>
          </cell>
          <cell r="D207" t="str">
            <v>갤럭시워치4 40mm 골프</v>
          </cell>
        </row>
        <row r="208">
          <cell r="C208" t="str">
            <v>SM-R895NK</v>
          </cell>
          <cell r="D208" t="str">
            <v>갤럭시워치4클래식 46mm</v>
          </cell>
        </row>
        <row r="209">
          <cell r="C209" t="str">
            <v>SM-R885NK</v>
          </cell>
          <cell r="D209" t="str">
            <v>갤럭시워치4클래식 42mm</v>
          </cell>
        </row>
        <row r="210">
          <cell r="C210" t="str">
            <v>SM-R875NK</v>
          </cell>
          <cell r="D210" t="str">
            <v>갤럭시워치4 44mm</v>
          </cell>
        </row>
        <row r="211">
          <cell r="C211" t="str">
            <v>SM-R865NK</v>
          </cell>
          <cell r="D211" t="str">
            <v>갤럭시워치4 40mm</v>
          </cell>
        </row>
        <row r="213">
          <cell r="C213">
            <v>0</v>
          </cell>
        </row>
        <row r="214">
          <cell r="C214" t="str">
            <v>모델명</v>
          </cell>
          <cell r="D214" t="str">
            <v>펫네임</v>
          </cell>
        </row>
        <row r="215">
          <cell r="C215" t="str">
            <v>NT935QDBN0</v>
          </cell>
          <cell r="D215" t="str">
            <v>갤럭시북 Pro 360 5G</v>
          </cell>
        </row>
        <row r="216">
          <cell r="C216" t="str">
            <v>NT545XLAN0</v>
          </cell>
          <cell r="D216" t="str">
            <v>갤럭시북 GO 5G</v>
          </cell>
        </row>
        <row r="217">
          <cell r="C217" t="str">
            <v>SM-X716N0</v>
          </cell>
          <cell r="D217" t="str">
            <v>Galaxy Tab S9</v>
          </cell>
        </row>
        <row r="218">
          <cell r="C218" t="str">
            <v>SM-X816N0</v>
          </cell>
          <cell r="D218" t="str">
            <v>Galaxy Tab S9 Plus</v>
          </cell>
        </row>
        <row r="219">
          <cell r="C219" t="str">
            <v>SM-X916N0</v>
          </cell>
          <cell r="D219" t="str">
            <v>Galaxy Tab S9 Ultra 256G</v>
          </cell>
        </row>
        <row r="220">
          <cell r="C220" t="str">
            <v>SM-X916N0512</v>
          </cell>
          <cell r="D220" t="str">
            <v>Galaxy Tab S9 Ultra 512G</v>
          </cell>
        </row>
        <row r="221">
          <cell r="C221" t="str">
            <v>SM-X216N0</v>
          </cell>
          <cell r="D221" t="str">
            <v>갤럭시 탭 A9+</v>
          </cell>
        </row>
        <row r="222">
          <cell r="C222" t="str">
            <v>NT955XEDN0</v>
          </cell>
          <cell r="D222" t="str">
            <v>갤럭시 북2 Pro 5G</v>
          </cell>
        </row>
        <row r="223">
          <cell r="C223" t="str">
            <v>NT345XPAN0</v>
          </cell>
          <cell r="D223" t="str">
            <v>갤럭시북3 Go 5G</v>
          </cell>
        </row>
        <row r="224">
          <cell r="C224" t="str">
            <v>NT545XLAN0</v>
          </cell>
          <cell r="D224" t="str">
            <v>갤럭시북 GO 5G</v>
          </cell>
        </row>
        <row r="225">
          <cell r="C225" t="str">
            <v>IPAD10-64</v>
          </cell>
          <cell r="D225" t="str">
            <v>iPad 10세대 64G</v>
          </cell>
        </row>
        <row r="226">
          <cell r="C226" t="str">
            <v>IPAD10-256</v>
          </cell>
          <cell r="D226" t="str">
            <v>iPad 10세대 256G</v>
          </cell>
        </row>
        <row r="227">
          <cell r="C227" t="str">
            <v>IPADP4_11-128</v>
          </cell>
          <cell r="D227" t="str">
            <v>iPad Pro 11" 4세대 128G</v>
          </cell>
        </row>
        <row r="228">
          <cell r="C228" t="str">
            <v>IPADP4_11-256</v>
          </cell>
          <cell r="D228" t="str">
            <v>iPad Pro 11" 4세대 256G</v>
          </cell>
        </row>
        <row r="229">
          <cell r="C229" t="str">
            <v>IPADP4_11-512</v>
          </cell>
          <cell r="D229" t="str">
            <v>iPad Pro 11" 4세대 512G</v>
          </cell>
        </row>
        <row r="230">
          <cell r="C230" t="str">
            <v>IPADP4_11-1T</v>
          </cell>
          <cell r="D230" t="str">
            <v>iPad Pro 11" 4세대 1T</v>
          </cell>
        </row>
        <row r="231">
          <cell r="C231" t="str">
            <v>IPADP4_11-2T</v>
          </cell>
          <cell r="D231" t="str">
            <v>iPad Pro 11" 4세대 2T</v>
          </cell>
        </row>
        <row r="232">
          <cell r="C232" t="str">
            <v>IPADP6_129-128</v>
          </cell>
          <cell r="D232" t="str">
            <v>iPad Pro 12.9" 6세대 128G</v>
          </cell>
        </row>
        <row r="233">
          <cell r="C233" t="str">
            <v>IPADP6_129-256</v>
          </cell>
          <cell r="D233" t="str">
            <v>iPad Pro 12.9" 6세대 256G</v>
          </cell>
        </row>
        <row r="234">
          <cell r="C234" t="str">
            <v>IPADP6_129-512</v>
          </cell>
          <cell r="D234" t="str">
            <v>iPad Pro 12.9" 6세대 512G</v>
          </cell>
        </row>
        <row r="235">
          <cell r="C235" t="str">
            <v>IPADP6_129-1T</v>
          </cell>
          <cell r="D235" t="str">
            <v>iPad Pro 12.9" 6세대 1T</v>
          </cell>
        </row>
        <row r="236">
          <cell r="C236" t="str">
            <v>IPADP6_129-2T</v>
          </cell>
          <cell r="D236" t="str">
            <v>iPad Pro 12.9" 6세대 2T</v>
          </cell>
        </row>
        <row r="237">
          <cell r="C237" t="str">
            <v>IPADA5-64_New</v>
          </cell>
          <cell r="D237" t="str">
            <v>iPad Air 5 64GB_New</v>
          </cell>
        </row>
        <row r="238">
          <cell r="C238" t="str">
            <v>IPADA5-256_New</v>
          </cell>
          <cell r="D238" t="str">
            <v>iPad Air 5 256GB_New</v>
          </cell>
        </row>
        <row r="239">
          <cell r="C239" t="str">
            <v>IPADM6-64_New</v>
          </cell>
          <cell r="D239" t="str">
            <v>iPad Mini 6 64GB_New</v>
          </cell>
        </row>
        <row r="240">
          <cell r="C240" t="str">
            <v>IPADM6-256_New</v>
          </cell>
          <cell r="D240" t="str">
            <v>iPad Mini 6 256GB_New</v>
          </cell>
        </row>
        <row r="241">
          <cell r="C241" t="str">
            <v>IPADM6-64</v>
          </cell>
          <cell r="D241" t="str">
            <v>iPad mini 6세대 64G</v>
          </cell>
        </row>
        <row r="242">
          <cell r="C242" t="str">
            <v>IPADM6-256</v>
          </cell>
          <cell r="D242" t="str">
            <v>iPad mini 6세대 256G</v>
          </cell>
        </row>
        <row r="243">
          <cell r="C243" t="str">
            <v>IPADA5-64</v>
          </cell>
          <cell r="D243" t="str">
            <v>iPad Air 5세대 64GB</v>
          </cell>
        </row>
        <row r="244">
          <cell r="C244" t="str">
            <v>IPADA5-256</v>
          </cell>
          <cell r="D244" t="str">
            <v>iPad Air 5세대 256GB</v>
          </cell>
        </row>
        <row r="245">
          <cell r="C245" t="str">
            <v>IPADA-M2-11-128</v>
          </cell>
          <cell r="D245" t="str">
            <v>iPad Air 11" M2 128GB</v>
          </cell>
        </row>
        <row r="246">
          <cell r="C246" t="str">
            <v>IPADA-M2-11-256</v>
          </cell>
          <cell r="D246" t="str">
            <v>iPad Air 11" M2 256GB</v>
          </cell>
        </row>
        <row r="247">
          <cell r="C247" t="str">
            <v>IPADA-M2-11-512</v>
          </cell>
          <cell r="D247" t="str">
            <v>iPad Air 11" M2 512GB</v>
          </cell>
        </row>
        <row r="248">
          <cell r="C248" t="str">
            <v>IPADA-M2-11-1T</v>
          </cell>
          <cell r="D248" t="str">
            <v>iPad Air 11" M2 1T</v>
          </cell>
        </row>
        <row r="249">
          <cell r="C249" t="str">
            <v>IPADA-M2-13-128</v>
          </cell>
          <cell r="D249" t="str">
            <v>iPad Air 13" M2 128GB</v>
          </cell>
        </row>
        <row r="250">
          <cell r="C250" t="str">
            <v>IPADA-M2-13-256</v>
          </cell>
          <cell r="D250" t="str">
            <v>iPad Air 13" M2 256GB</v>
          </cell>
        </row>
        <row r="251">
          <cell r="C251" t="str">
            <v>IPADA-M2-13-512</v>
          </cell>
          <cell r="D251" t="str">
            <v>iPad Air 13" M2 512GB</v>
          </cell>
        </row>
        <row r="252">
          <cell r="C252" t="str">
            <v>IPADA-M2-13-1T</v>
          </cell>
          <cell r="D252" t="str">
            <v>iPad Air 13" M2 1T</v>
          </cell>
        </row>
        <row r="253">
          <cell r="C253" t="str">
            <v>IPADP-M4-11-256</v>
          </cell>
          <cell r="D253" t="str">
            <v>iPad Pro 11" M4 256GB</v>
          </cell>
        </row>
        <row r="254">
          <cell r="C254" t="str">
            <v>IPADP-M4-11-512</v>
          </cell>
          <cell r="D254" t="str">
            <v>iPad Pro 11" M4 512GB</v>
          </cell>
        </row>
        <row r="255">
          <cell r="C255" t="str">
            <v>IPADP-M4-11-1T</v>
          </cell>
          <cell r="D255" t="str">
            <v>iPad Pro 11" M4 1TB</v>
          </cell>
        </row>
        <row r="256">
          <cell r="C256" t="str">
            <v>IPADP-M4-11-2T</v>
          </cell>
          <cell r="D256" t="str">
            <v>iPad Pro 11" M4 2TB</v>
          </cell>
        </row>
        <row r="257">
          <cell r="C257" t="str">
            <v>IPADP-M4-13-256</v>
          </cell>
          <cell r="D257" t="str">
            <v>iPad Pro 13" M4 256GB</v>
          </cell>
        </row>
        <row r="258">
          <cell r="C258" t="str">
            <v>IPADP-M4-13-512</v>
          </cell>
          <cell r="D258" t="str">
            <v>iPad Pro 13" M4 512GB</v>
          </cell>
        </row>
        <row r="259">
          <cell r="C259" t="str">
            <v>IPADP-M4-13-1T</v>
          </cell>
          <cell r="D259" t="str">
            <v>iPad Pro 13" M4 1TB</v>
          </cell>
        </row>
        <row r="260">
          <cell r="C260" t="str">
            <v>IPADP-M4-13-2T</v>
          </cell>
          <cell r="D260" t="str">
            <v>iPad Pro 13" M4 2TB</v>
          </cell>
        </row>
        <row r="261">
          <cell r="C261" t="str">
            <v>IPADP-M4-11-1T-N</v>
          </cell>
          <cell r="D261" t="str">
            <v>iPad Pro 11" M4 1TB Nano TextureGlass</v>
          </cell>
        </row>
        <row r="262">
          <cell r="C262" t="str">
            <v>IPADP-M4-11-2T-N</v>
          </cell>
          <cell r="D262" t="str">
            <v>iPad Pro 11" M4 2TB Nano TextureGlass</v>
          </cell>
        </row>
        <row r="263">
          <cell r="C263" t="str">
            <v>IPADP-M4-13-1T-N</v>
          </cell>
          <cell r="D263" t="str">
            <v>iPad Pro 13" M4 1TB Nano TextureGlass</v>
          </cell>
        </row>
        <row r="264">
          <cell r="C264" t="str">
            <v>IPADP-M4-13-2T-N</v>
          </cell>
          <cell r="D264" t="str">
            <v>iPad Pro 13" M4 2TB Nano TextureGlass</v>
          </cell>
        </row>
        <row r="266">
          <cell r="C266">
            <v>0</v>
          </cell>
        </row>
        <row r="267">
          <cell r="C267" t="str">
            <v>모델명</v>
          </cell>
          <cell r="D267" t="str">
            <v>펫네임</v>
          </cell>
        </row>
        <row r="268">
          <cell r="C268" t="str">
            <v>IPAD9-64</v>
          </cell>
          <cell r="D268" t="str">
            <v>iPad 9세대 64G</v>
          </cell>
        </row>
        <row r="269">
          <cell r="C269" t="str">
            <v>IPAD9-256</v>
          </cell>
          <cell r="D269" t="str">
            <v>iPad 9세대 256G</v>
          </cell>
        </row>
        <row r="270">
          <cell r="C270" t="str">
            <v>SM-T975N0</v>
          </cell>
          <cell r="D270" t="str">
            <v>갤탭S7+ LTE</v>
          </cell>
        </row>
        <row r="271">
          <cell r="C271" t="str">
            <v>SM-T975N0512</v>
          </cell>
          <cell r="D271" t="str">
            <v>갤럭시 탭 S7+ 512GB</v>
          </cell>
        </row>
        <row r="272">
          <cell r="C272" t="str">
            <v>NT935XDBN0</v>
          </cell>
          <cell r="D272" t="str">
            <v>갤럭시 북 Pro</v>
          </cell>
        </row>
        <row r="273">
          <cell r="C273" t="str">
            <v>NT755XDAN0</v>
          </cell>
          <cell r="D273" t="str">
            <v>갤럭시 북</v>
          </cell>
        </row>
        <row r="274">
          <cell r="C274" t="str">
            <v>NT345XLAN0</v>
          </cell>
          <cell r="D274" t="str">
            <v>갤럭시북 GO</v>
          </cell>
        </row>
        <row r="275">
          <cell r="C275" t="str">
            <v>SM-T825N0</v>
          </cell>
          <cell r="D275" t="str">
            <v>갤럭시탭S3</v>
          </cell>
        </row>
        <row r="276">
          <cell r="C276" t="str">
            <v>SM-T505NZAHKTC</v>
          </cell>
          <cell r="D276" t="str">
            <v>olleh tv tab</v>
          </cell>
        </row>
        <row r="277">
          <cell r="C277" t="str">
            <v>SM-X205NZAJKTC</v>
          </cell>
          <cell r="D277" t="str">
            <v>지니TV탭 2</v>
          </cell>
        </row>
        <row r="278">
          <cell r="C278" t="str">
            <v>SM-X205N023</v>
          </cell>
          <cell r="D278" t="str">
            <v>갤럭시 탭 A8 2023</v>
          </cell>
        </row>
        <row r="279">
          <cell r="C279" t="str">
            <v>SM-T225N023</v>
          </cell>
          <cell r="D279" t="str">
            <v>갤럭시 탭 A7 Lite 64GB 2023</v>
          </cell>
        </row>
        <row r="280">
          <cell r="C280" t="str">
            <v>SM-T225N064</v>
          </cell>
          <cell r="D280" t="str">
            <v>Tab A7 Lite</v>
          </cell>
        </row>
        <row r="281">
          <cell r="C281" t="str">
            <v>SM-X205N0</v>
          </cell>
          <cell r="D281" t="str">
            <v>Galaxy Tab A8</v>
          </cell>
        </row>
        <row r="283">
          <cell r="C283">
            <v>0</v>
          </cell>
        </row>
        <row r="284">
          <cell r="C284" t="str">
            <v>모델명</v>
          </cell>
          <cell r="D284" t="str">
            <v>펫네임</v>
          </cell>
        </row>
        <row r="285">
          <cell r="C285" t="str">
            <v>GLM-200</v>
          </cell>
          <cell r="D285" t="str">
            <v>GiGA Genie LTE2</v>
          </cell>
        </row>
        <row r="286">
          <cell r="C286" t="str">
            <v>IML540</v>
          </cell>
          <cell r="D286" t="str">
            <v>Egg Talk</v>
          </cell>
        </row>
        <row r="287">
          <cell r="C287" t="str">
            <v>MKL-E2000</v>
          </cell>
          <cell r="D287" t="str">
            <v>Slim egg 3</v>
          </cell>
        </row>
        <row r="288">
          <cell r="C288" t="str">
            <v>MKL-U1000</v>
          </cell>
          <cell r="D288" t="str">
            <v>USB egg</v>
          </cell>
        </row>
        <row r="289">
          <cell r="C289" t="str">
            <v>NP30K</v>
          </cell>
          <cell r="D289" t="str">
            <v>LTE egg mini</v>
          </cell>
        </row>
        <row r="290">
          <cell r="C290">
            <v>0</v>
          </cell>
          <cell r="D290">
            <v>0</v>
          </cell>
        </row>
        <row r="291">
          <cell r="C291">
            <v>0</v>
          </cell>
        </row>
        <row r="292">
          <cell r="C292" t="str">
            <v>모델명</v>
          </cell>
          <cell r="D292" t="str">
            <v>펫네임</v>
          </cell>
        </row>
        <row r="293">
          <cell r="C293" t="str">
            <v>MKL-E1100K</v>
          </cell>
          <cell r="D293" t="str">
            <v>5G EGG 2</v>
          </cell>
        </row>
        <row r="294">
          <cell r="C294" t="str">
            <v>BKE-500</v>
          </cell>
          <cell r="D294" t="str">
            <v>5G egg</v>
          </cell>
        </row>
      </sheetData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그린폰단가"/>
      <sheetName val="영업기회 및 사번"/>
      <sheetName val="안내"/>
      <sheetName val="주요정책 및 유의사항"/>
      <sheetName val="Sheet1"/>
      <sheetName val="사내 MGM_3Q 3호(0919 ~)"/>
      <sheetName val="Sheet2"/>
      <sheetName val="개별접수 URL"/>
      <sheetName val="자동계산기"/>
      <sheetName val="공시지원금"/>
      <sheetName val="정책적용 요금제_LTE"/>
      <sheetName val="정책적용 요금제_5G"/>
      <sheetName val="전환지원금_47K미만"/>
      <sheetName val="출고가"/>
      <sheetName val="구분자"/>
      <sheetName val="정책서 정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">
          <cell r="P1" t="str">
            <v>스페셜</v>
          </cell>
          <cell r="Q1">
            <v>100000</v>
          </cell>
        </row>
        <row r="2">
          <cell r="P2" t="str">
            <v>베이직</v>
          </cell>
          <cell r="Q2">
            <v>80000</v>
          </cell>
        </row>
        <row r="3">
          <cell r="P3" t="str">
            <v>심플110G</v>
          </cell>
          <cell r="Q3">
            <v>69000</v>
          </cell>
        </row>
        <row r="4">
          <cell r="P4" t="str">
            <v>심플30G</v>
          </cell>
          <cell r="Q4">
            <v>61000</v>
          </cell>
        </row>
        <row r="5">
          <cell r="P5" t="str">
            <v>슬림10G</v>
          </cell>
          <cell r="Q5">
            <v>50000</v>
          </cell>
        </row>
        <row r="6">
          <cell r="P6" t="str">
            <v>슬림4G</v>
          </cell>
          <cell r="Q6">
            <v>37000</v>
          </cell>
        </row>
        <row r="10">
          <cell r="P10" t="str">
            <v>데이터ON 프리미엄</v>
          </cell>
          <cell r="Q10">
            <v>69000</v>
          </cell>
        </row>
        <row r="11">
          <cell r="P11" t="str">
            <v>데이터ON 톡</v>
          </cell>
          <cell r="Q11">
            <v>49000</v>
          </cell>
        </row>
        <row r="12">
          <cell r="P12" t="str">
            <v>LTE베이직</v>
          </cell>
          <cell r="Q12">
            <v>33000</v>
          </cell>
        </row>
      </sheetData>
      <sheetData sheetId="1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shop.kt.com/smart/supportAmtList.do" TargetMode="External"/><Relationship Id="rId1" Type="http://schemas.openxmlformats.org/officeDocument/2006/relationships/hyperlink" Target="https://shopmns.com/ktmnsmgm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://online.kt.com/index.jsp?prdcID=45B054B9-FC3F-48F6-91D9-7AC8186FB2F6" TargetMode="External"/><Relationship Id="rId21" Type="http://schemas.openxmlformats.org/officeDocument/2006/relationships/hyperlink" Target="http://online.kt.com/index.jsp?prdcID=2A23A5F6-2F04-4C07-8607-00028790198B" TargetMode="External"/><Relationship Id="rId42" Type="http://schemas.openxmlformats.org/officeDocument/2006/relationships/hyperlink" Target="http://online.kt.com/index.jsp?prdcID=7FEC2B12-17E2-4ED5-B70F-BEAB0B4BA465" TargetMode="External"/><Relationship Id="rId47" Type="http://schemas.openxmlformats.org/officeDocument/2006/relationships/hyperlink" Target="http://online.kt.com/index.jsp?prdcID=30E74E4D-8CEC-4D6A-A18C-A1A8D1F3B659" TargetMode="External"/><Relationship Id="rId63" Type="http://schemas.openxmlformats.org/officeDocument/2006/relationships/hyperlink" Target="http://online.kt.com/index.jsp?prdcID=593D17D1-511F-44AC-95D2-262E0257B7BD" TargetMode="External"/><Relationship Id="rId68" Type="http://schemas.openxmlformats.org/officeDocument/2006/relationships/hyperlink" Target="http://online.kt.com/index.jsp?prdcID=4C16C4CB-9C30-4945-A5E7-5A9B214045A9" TargetMode="External"/><Relationship Id="rId16" Type="http://schemas.openxmlformats.org/officeDocument/2006/relationships/hyperlink" Target="http://online.kt.com/index.jsp?prdcID=AC18A707-F252-4D94-AF37-F42F995D6F7E" TargetMode="External"/><Relationship Id="rId11" Type="http://schemas.openxmlformats.org/officeDocument/2006/relationships/hyperlink" Target="http://online.kt.com/index.jsp?prdcID=3FA3F292-9FAB-4F47-BB3E-10029EE124ED" TargetMode="External"/><Relationship Id="rId24" Type="http://schemas.openxmlformats.org/officeDocument/2006/relationships/hyperlink" Target="http://online.kt.com/index.jsp?prdcID=8E2CE797-ABA0-408C-B095-B5086B784B48" TargetMode="External"/><Relationship Id="rId32" Type="http://schemas.openxmlformats.org/officeDocument/2006/relationships/hyperlink" Target="http://online.kt.com/index.jsp?prdcID=0A25015A-D101-4FE4-A73D-43420D27244A" TargetMode="External"/><Relationship Id="rId37" Type="http://schemas.openxmlformats.org/officeDocument/2006/relationships/hyperlink" Target="http://online.kt.com/index.jsp?prdcID=9CEB6A5E-4088-4BC3-85A9-584CF7A6BEF9" TargetMode="External"/><Relationship Id="rId40" Type="http://schemas.openxmlformats.org/officeDocument/2006/relationships/hyperlink" Target="http://online.kt.com/index.jsp?prdcID=0E1D90A6-3387-4D4A-8A36-A5025D57EF00" TargetMode="External"/><Relationship Id="rId45" Type="http://schemas.openxmlformats.org/officeDocument/2006/relationships/hyperlink" Target="http://online.kt.com/index.jsp?prdcID=DA656364-AA28-4184-B227-F00E368B519E" TargetMode="External"/><Relationship Id="rId53" Type="http://schemas.openxmlformats.org/officeDocument/2006/relationships/hyperlink" Target="http://online.kt.com/index.jsp?prdcID=4807FF6D-147B-408D-BB1E-227DD2C3F285" TargetMode="External"/><Relationship Id="rId58" Type="http://schemas.openxmlformats.org/officeDocument/2006/relationships/hyperlink" Target="http://online.kt.com/index.jsp?prdcID=D366BDE5-96CF-4947-BB1A-A836D0541D95" TargetMode="External"/><Relationship Id="rId66" Type="http://schemas.openxmlformats.org/officeDocument/2006/relationships/hyperlink" Target="http://online.kt.com/index.jsp?prdcID=EE7DCBBE-1E9C-44E6-9301-9D6B8EA7139D" TargetMode="External"/><Relationship Id="rId74" Type="http://schemas.openxmlformats.org/officeDocument/2006/relationships/hyperlink" Target="http://online.kt.com/index.jsp?prdcID=DAB19740-8B0D-4CED-A3C7-00CDFD53DAB4" TargetMode="External"/><Relationship Id="rId79" Type="http://schemas.openxmlformats.org/officeDocument/2006/relationships/hyperlink" Target="http://online.kt.com/index.jsp?prdcID=F07584FF-1983-4E9E-BBA8-7D677278B3F7" TargetMode="External"/><Relationship Id="rId5" Type="http://schemas.openxmlformats.org/officeDocument/2006/relationships/hyperlink" Target="http://online.kt.com/index.jsp?prdcID=D7C8BE70-515A-45C1-9148-DE357572F808" TargetMode="External"/><Relationship Id="rId61" Type="http://schemas.openxmlformats.org/officeDocument/2006/relationships/hyperlink" Target="http://online.kt.com/index.jsp?prdcID=39C34425-F31C-4228-BF60-A95FD99D3AE2" TargetMode="External"/><Relationship Id="rId19" Type="http://schemas.openxmlformats.org/officeDocument/2006/relationships/hyperlink" Target="http://online.kt.com/index.jsp?prdcID=11F8FAE7-44E0-4E6A-867E-40C3A567D7DE" TargetMode="External"/><Relationship Id="rId14" Type="http://schemas.openxmlformats.org/officeDocument/2006/relationships/hyperlink" Target="http://online.kt.com/index.jsp?prdcID=1B97C2B4-CD3F-4F45-9497-678529BB6858" TargetMode="External"/><Relationship Id="rId22" Type="http://schemas.openxmlformats.org/officeDocument/2006/relationships/hyperlink" Target="http://online.kt.com/index.jsp?prdcID=49FB775D-D205-402C-8BF7-BC73CAC32C32" TargetMode="External"/><Relationship Id="rId27" Type="http://schemas.openxmlformats.org/officeDocument/2006/relationships/hyperlink" Target="http://online.kt.com/index.jsp?prdcID=F7060F12-0630-4283-A419-E1C6F5519C78" TargetMode="External"/><Relationship Id="rId30" Type="http://schemas.openxmlformats.org/officeDocument/2006/relationships/hyperlink" Target="http://online.kt.com/index.jsp?prdcID=9BDAC0CE-D215-4E5A-85E7-2D09C8ED7C0E" TargetMode="External"/><Relationship Id="rId35" Type="http://schemas.openxmlformats.org/officeDocument/2006/relationships/hyperlink" Target="http://online.kt.com/index.jsp?prdcID=2491AC2F-FEF5-435C-A0C9-77E997D49979" TargetMode="External"/><Relationship Id="rId43" Type="http://schemas.openxmlformats.org/officeDocument/2006/relationships/hyperlink" Target="http://online.kt.com/index.jsp?prdcID=B87DFC09-7680-4C2A-B750-2880DF211FE8" TargetMode="External"/><Relationship Id="rId48" Type="http://schemas.openxmlformats.org/officeDocument/2006/relationships/hyperlink" Target="http://online.kt.com/index.jsp?prdcID=BCC0215A-3499-49CC-8670-FD0C8E7DE2E4" TargetMode="External"/><Relationship Id="rId56" Type="http://schemas.openxmlformats.org/officeDocument/2006/relationships/hyperlink" Target="http://online.kt.com/index.jsp?prdcID=8939B228-00BF-4CCB-B529-FE455A0EA297" TargetMode="External"/><Relationship Id="rId64" Type="http://schemas.openxmlformats.org/officeDocument/2006/relationships/hyperlink" Target="http://online.kt.com/index.jsp?prdcID=ECAA6A61-C5E0-4026-AE7E-9DCA1DDA436B" TargetMode="External"/><Relationship Id="rId69" Type="http://schemas.openxmlformats.org/officeDocument/2006/relationships/hyperlink" Target="http://online.kt.com/index.jsp?prdcID=F926F755-193C-4F47-8CF1-0A1D19832B5B" TargetMode="External"/><Relationship Id="rId77" Type="http://schemas.openxmlformats.org/officeDocument/2006/relationships/hyperlink" Target="http://online.kt.com/index.jsp?prdcID=75840DE6-FF4E-42B4-BC91-B447A782B33F" TargetMode="External"/><Relationship Id="rId8" Type="http://schemas.openxmlformats.org/officeDocument/2006/relationships/hyperlink" Target="http://online.kt.com/index.jsp?prdcID=4CCDBBE4-DA1E-4723-B3F8-C38734317615" TargetMode="External"/><Relationship Id="rId51" Type="http://schemas.openxmlformats.org/officeDocument/2006/relationships/hyperlink" Target="http://online.kt.com/index.jsp?prdcID=4BA568F4-D344-4A08-946E-1115CE764D57" TargetMode="External"/><Relationship Id="rId72" Type="http://schemas.openxmlformats.org/officeDocument/2006/relationships/hyperlink" Target="http://online.kt.com/index.jsp?prdcID=09D546A4-0A40-49CE-BB63-8B0DD006D444" TargetMode="External"/><Relationship Id="rId80" Type="http://schemas.openxmlformats.org/officeDocument/2006/relationships/hyperlink" Target="http://online.kt.com/index.jsp?prdcID=3EBDA557-F83B-447D-9486-2F2F4D860F76" TargetMode="External"/><Relationship Id="rId3" Type="http://schemas.openxmlformats.org/officeDocument/2006/relationships/hyperlink" Target="http://online.kt.com/index.jsp?prdcID=F3BB1F20-E3AB-4B26-B8A7-6D8B1683C956" TargetMode="External"/><Relationship Id="rId12" Type="http://schemas.openxmlformats.org/officeDocument/2006/relationships/hyperlink" Target="http://online.kt.com/index.jsp?prdcID=4DD20A5C-2CA5-452A-A9D4-B6B413796FFA" TargetMode="External"/><Relationship Id="rId17" Type="http://schemas.openxmlformats.org/officeDocument/2006/relationships/hyperlink" Target="http://online.kt.com/index.jsp?prdcID=F53D2DFC-D804-4E21-A7C6-25148199AFAD" TargetMode="External"/><Relationship Id="rId25" Type="http://schemas.openxmlformats.org/officeDocument/2006/relationships/hyperlink" Target="http://online.kt.com/index.jsp?prdcID=19FC9321-E27F-4180-8868-E1756A9014C6" TargetMode="External"/><Relationship Id="rId33" Type="http://schemas.openxmlformats.org/officeDocument/2006/relationships/hyperlink" Target="http://online.kt.com/index.jsp?prdcID=4C5D10FA-D201-4E56-B552-CCCBD9821A1C" TargetMode="External"/><Relationship Id="rId38" Type="http://schemas.openxmlformats.org/officeDocument/2006/relationships/hyperlink" Target="http://online.kt.com/index.jsp?prdcID=31D76568-748B-4611-96B5-B6619AC2E343" TargetMode="External"/><Relationship Id="rId46" Type="http://schemas.openxmlformats.org/officeDocument/2006/relationships/hyperlink" Target="http://online.kt.com/index.jsp?prdcID=FA18D316-5CA1-4544-93A3-9CEBE5CD78BA" TargetMode="External"/><Relationship Id="rId59" Type="http://schemas.openxmlformats.org/officeDocument/2006/relationships/hyperlink" Target="http://online.kt.com/index.jsp?prdcID=B8CCB6CB-7208-48ED-A66E-9B36357BCA41" TargetMode="External"/><Relationship Id="rId67" Type="http://schemas.openxmlformats.org/officeDocument/2006/relationships/hyperlink" Target="http://online.kt.com/index.jsp?prdcID=4974DD0E-AC61-441F-9B1C-0AA2007B5E66" TargetMode="External"/><Relationship Id="rId20" Type="http://schemas.openxmlformats.org/officeDocument/2006/relationships/hyperlink" Target="http://online.kt.com/index.jsp?prdcID=A95B88C8-38BC-4FC3-BC05-2E0306FCF5B7" TargetMode="External"/><Relationship Id="rId41" Type="http://schemas.openxmlformats.org/officeDocument/2006/relationships/hyperlink" Target="http://online.kt.com/index.jsp?prdcID=71FFEA20-0DD7-43C7-8FB7-298913879154" TargetMode="External"/><Relationship Id="rId54" Type="http://schemas.openxmlformats.org/officeDocument/2006/relationships/hyperlink" Target="http://online.kt.com/index.jsp?prdcID=84B98D42-8B9E-45DB-9B72-794293E22A4C" TargetMode="External"/><Relationship Id="rId62" Type="http://schemas.openxmlformats.org/officeDocument/2006/relationships/hyperlink" Target="http://online.kt.com/index.jsp?prdcID=0E628745-8BC8-43A4-AA60-E835BBBA205B" TargetMode="External"/><Relationship Id="rId70" Type="http://schemas.openxmlformats.org/officeDocument/2006/relationships/hyperlink" Target="http://online.kt.com/index.jsp?prdcID=E50AD883-AC5C-4AC7-A641-6E8CF521FC09" TargetMode="External"/><Relationship Id="rId75" Type="http://schemas.openxmlformats.org/officeDocument/2006/relationships/hyperlink" Target="http://online.kt.com/index.jsp?prdcID=9F3EE6ED-89E3-44FA-8ABA-E93702349211" TargetMode="External"/><Relationship Id="rId1" Type="http://schemas.openxmlformats.org/officeDocument/2006/relationships/hyperlink" Target="http://online.kt.com/index.jsp?prdcID=692CC6FC-B2A6-48EA-9BB9-CB08B1B26694" TargetMode="External"/><Relationship Id="rId6" Type="http://schemas.openxmlformats.org/officeDocument/2006/relationships/hyperlink" Target="http://online.kt.com/index.jsp?prdcID=20827A08-E1AA-44BA-A3CC-29C72702F26D" TargetMode="External"/><Relationship Id="rId15" Type="http://schemas.openxmlformats.org/officeDocument/2006/relationships/hyperlink" Target="http://online.kt.com/index.jsp?prdcID=41E2517E-0107-49B5-8D63-24DE96D32630" TargetMode="External"/><Relationship Id="rId23" Type="http://schemas.openxmlformats.org/officeDocument/2006/relationships/hyperlink" Target="http://online.kt.com/index.jsp?prdcID=79EB2CA3-9B36-49A8-A136-CF53C022759E" TargetMode="External"/><Relationship Id="rId28" Type="http://schemas.openxmlformats.org/officeDocument/2006/relationships/hyperlink" Target="http://online.kt.com/index.jsp?prdcID=ADBE7546-4CB3-4C74-A03F-8B23842F037B" TargetMode="External"/><Relationship Id="rId36" Type="http://schemas.openxmlformats.org/officeDocument/2006/relationships/hyperlink" Target="http://online.kt.com/index.jsp?prdcID=CCD369C4-5C73-4F57-90D5-5900E91B1835" TargetMode="External"/><Relationship Id="rId49" Type="http://schemas.openxmlformats.org/officeDocument/2006/relationships/hyperlink" Target="http://online.kt.com/index.jsp?prdcID=6EA0E67E-BADA-4438-9D84-15990331A998" TargetMode="External"/><Relationship Id="rId57" Type="http://schemas.openxmlformats.org/officeDocument/2006/relationships/hyperlink" Target="http://online.kt.com/index.jsp?prdcID=415AC892-3EFB-495E-A282-E54410A24E7A" TargetMode="External"/><Relationship Id="rId10" Type="http://schemas.openxmlformats.org/officeDocument/2006/relationships/hyperlink" Target="http://online.kt.com/index.jsp?prdcID=1E9936A0-88DC-41EA-A0A1-5E73A4A917FE" TargetMode="External"/><Relationship Id="rId31" Type="http://schemas.openxmlformats.org/officeDocument/2006/relationships/hyperlink" Target="http://online.kt.com/index.jsp?prdcID=C28F7667-0FBC-45A7-9DF9-F1CFC34CF07A" TargetMode="External"/><Relationship Id="rId44" Type="http://schemas.openxmlformats.org/officeDocument/2006/relationships/hyperlink" Target="http://online.kt.com/index.jsp?prdcID=ED41E141-9E3A-429A-913E-0A49C7C55A89" TargetMode="External"/><Relationship Id="rId52" Type="http://schemas.openxmlformats.org/officeDocument/2006/relationships/hyperlink" Target="http://online.kt.com/index.jsp?prdcID=4D889313-31BC-49C3-81CE-44BF85CCE1EE" TargetMode="External"/><Relationship Id="rId60" Type="http://schemas.openxmlformats.org/officeDocument/2006/relationships/hyperlink" Target="http://online.kt.com/index.jsp?prdcID=C7DD989D-E521-418E-A7DB-145DF7B98E79" TargetMode="External"/><Relationship Id="rId65" Type="http://schemas.openxmlformats.org/officeDocument/2006/relationships/hyperlink" Target="http://online.kt.com/index.jsp?prdcID=7875822A-6AAA-4EB7-8FEF-C8B8468D1C36" TargetMode="External"/><Relationship Id="rId73" Type="http://schemas.openxmlformats.org/officeDocument/2006/relationships/hyperlink" Target="http://online.kt.com/index.jsp?prdcID=F54F9FA8-B015-461C-B26B-CADCCAA1EEF2" TargetMode="External"/><Relationship Id="rId78" Type="http://schemas.openxmlformats.org/officeDocument/2006/relationships/hyperlink" Target="http://online.kt.com/index.jsp?prdcID=00BE8F12-F046-4B80-B231-EBC3491B7006" TargetMode="External"/><Relationship Id="rId4" Type="http://schemas.openxmlformats.org/officeDocument/2006/relationships/hyperlink" Target="http://online.kt.com/index.jsp?prdcID=38A8F409-5E78-4813-925A-8661183193D0" TargetMode="External"/><Relationship Id="rId9" Type="http://schemas.openxmlformats.org/officeDocument/2006/relationships/hyperlink" Target="http://online.kt.com/index.jsp?prdcID=208B8561-5B9E-464A-9381-1FADA54AA05E" TargetMode="External"/><Relationship Id="rId13" Type="http://schemas.openxmlformats.org/officeDocument/2006/relationships/hyperlink" Target="http://online.kt.com/index.jsp?prdcID=431CA1A9-7322-47F2-8222-7328C7D297CB" TargetMode="External"/><Relationship Id="rId18" Type="http://schemas.openxmlformats.org/officeDocument/2006/relationships/hyperlink" Target="http://online.kt.com/index.jsp?prdcID=122234E8-1249-438E-8911-D3C818B7AC51" TargetMode="External"/><Relationship Id="rId39" Type="http://schemas.openxmlformats.org/officeDocument/2006/relationships/hyperlink" Target="http://online.kt.com/index.jsp?prdcID=1E3314B5-54BE-497C-A3D7-FD74902163C3" TargetMode="External"/><Relationship Id="rId34" Type="http://schemas.openxmlformats.org/officeDocument/2006/relationships/hyperlink" Target="http://online.kt.com/index.jsp?prdcID=E6598325-4444-47D3-9215-12ECDB7364EC" TargetMode="External"/><Relationship Id="rId50" Type="http://schemas.openxmlformats.org/officeDocument/2006/relationships/hyperlink" Target="http://online.kt.com/index.jsp?prdcID=84B7E5C4-45E9-4AB2-B461-C0D4C6BE0872" TargetMode="External"/><Relationship Id="rId55" Type="http://schemas.openxmlformats.org/officeDocument/2006/relationships/hyperlink" Target="http://online.kt.com/index.jsp?prdcID=7793E314-A985-45D2-88CB-BDD19E745ECD" TargetMode="External"/><Relationship Id="rId76" Type="http://schemas.openxmlformats.org/officeDocument/2006/relationships/hyperlink" Target="http://online.kt.com/index.jsp?prdcID=AA9E414D-A7CC-4FB7-90D9-86B8AEFD5331" TargetMode="External"/><Relationship Id="rId7" Type="http://schemas.openxmlformats.org/officeDocument/2006/relationships/hyperlink" Target="http://online.kt.com/index.jsp?prdcID=A99CD043-7917-4BF1-83FE-F4ECC684337B" TargetMode="External"/><Relationship Id="rId71" Type="http://schemas.openxmlformats.org/officeDocument/2006/relationships/hyperlink" Target="http://online.kt.com/index.jsp?prdcID=0B9D56CD-83FB-4197-93D6-47E03EA003D6" TargetMode="External"/><Relationship Id="rId2" Type="http://schemas.openxmlformats.org/officeDocument/2006/relationships/hyperlink" Target="http://online.kt.com/index.jsp?prdcID=99CBF38B-DC48-4AC7-918E-30ED6C5286CB" TargetMode="External"/><Relationship Id="rId29" Type="http://schemas.openxmlformats.org/officeDocument/2006/relationships/hyperlink" Target="http://online.kt.com/index.jsp?prdcID=D492D16D-607F-43D3-B538-36E116F50344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tabColor rgb="FFFFFF00"/>
  </sheetPr>
  <dimension ref="A1:N66"/>
  <sheetViews>
    <sheetView workbookViewId="0">
      <selection activeCell="E19" sqref="E19"/>
    </sheetView>
  </sheetViews>
  <sheetFormatPr defaultColWidth="8.69921875" defaultRowHeight="17.399999999999999"/>
  <cols>
    <col min="1" max="1" width="10.59765625" customWidth="1"/>
    <col min="2" max="2" width="17.59765625" customWidth="1"/>
    <col min="3" max="3" width="19.09765625" customWidth="1"/>
    <col min="4" max="5" width="19.59765625" customWidth="1"/>
    <col min="6" max="6" width="17.59765625" customWidth="1"/>
  </cols>
  <sheetData>
    <row r="1" spans="1:14" ht="18" customHeight="1">
      <c r="A1" s="328" t="s">
        <v>29</v>
      </c>
      <c r="B1" s="330" t="s">
        <v>30</v>
      </c>
      <c r="C1" s="331"/>
      <c r="D1" s="332" t="s">
        <v>31</v>
      </c>
      <c r="E1" s="332"/>
      <c r="F1" s="333"/>
    </row>
    <row r="2" spans="1:14" ht="18" customHeight="1">
      <c r="A2" s="329"/>
      <c r="B2" s="3" t="s">
        <v>32</v>
      </c>
      <c r="C2" s="3" t="s">
        <v>33</v>
      </c>
      <c r="D2" s="4" t="s">
        <v>34</v>
      </c>
      <c r="E2" s="5" t="s">
        <v>35</v>
      </c>
      <c r="F2" s="6" t="s">
        <v>36</v>
      </c>
    </row>
    <row r="3" spans="1:14" ht="19.2">
      <c r="A3" s="334" t="s">
        <v>37</v>
      </c>
      <c r="B3" s="7" t="s">
        <v>38</v>
      </c>
      <c r="C3" s="8" t="s">
        <v>39</v>
      </c>
      <c r="D3" s="9">
        <v>20000</v>
      </c>
      <c r="E3" s="10">
        <v>20000</v>
      </c>
      <c r="F3" s="11">
        <v>2000</v>
      </c>
      <c r="L3" s="12"/>
      <c r="M3" s="12"/>
      <c r="N3" s="12"/>
    </row>
    <row r="4" spans="1:14" ht="19.2">
      <c r="A4" s="335"/>
      <c r="B4" s="7" t="s">
        <v>40</v>
      </c>
      <c r="C4" s="8" t="s">
        <v>39</v>
      </c>
      <c r="D4" s="9">
        <v>30000</v>
      </c>
      <c r="E4" s="10">
        <v>30000</v>
      </c>
      <c r="F4" s="11">
        <v>3000</v>
      </c>
      <c r="L4" s="12"/>
      <c r="M4" s="12"/>
      <c r="N4" s="12"/>
    </row>
    <row r="5" spans="1:14" ht="19.2">
      <c r="A5" s="335"/>
      <c r="B5" s="7" t="s">
        <v>41</v>
      </c>
      <c r="C5" s="8" t="s">
        <v>39</v>
      </c>
      <c r="D5" s="9">
        <v>30000</v>
      </c>
      <c r="E5" s="10">
        <v>30000</v>
      </c>
      <c r="F5" s="11">
        <v>3000</v>
      </c>
      <c r="L5" s="12"/>
      <c r="M5" s="12"/>
      <c r="N5" s="12"/>
    </row>
    <row r="6" spans="1:14" ht="19.2">
      <c r="A6" s="335"/>
      <c r="B6" s="7" t="s">
        <v>42</v>
      </c>
      <c r="C6" s="8" t="s">
        <v>43</v>
      </c>
      <c r="D6" s="9">
        <v>35000</v>
      </c>
      <c r="E6" s="10">
        <v>35000</v>
      </c>
      <c r="F6" s="11">
        <v>4000</v>
      </c>
      <c r="L6" s="12"/>
      <c r="M6" s="12"/>
      <c r="N6" s="12"/>
    </row>
    <row r="7" spans="1:14" ht="19.2">
      <c r="A7" s="335"/>
      <c r="B7" s="7" t="s">
        <v>44</v>
      </c>
      <c r="C7" s="8" t="s">
        <v>43</v>
      </c>
      <c r="D7" s="9">
        <v>50000</v>
      </c>
      <c r="E7" s="10">
        <v>50000</v>
      </c>
      <c r="F7" s="11">
        <v>5000</v>
      </c>
      <c r="L7" s="12"/>
      <c r="M7" s="12"/>
      <c r="N7" s="12"/>
    </row>
    <row r="8" spans="1:14" ht="19.2">
      <c r="A8" s="335"/>
      <c r="B8" s="7" t="s">
        <v>45</v>
      </c>
      <c r="C8" s="8" t="s">
        <v>43</v>
      </c>
      <c r="D8" s="9">
        <v>50000</v>
      </c>
      <c r="E8" s="10">
        <v>50000</v>
      </c>
      <c r="F8" s="11">
        <v>5000</v>
      </c>
      <c r="L8" s="12"/>
      <c r="M8" s="12"/>
      <c r="N8" s="12"/>
    </row>
    <row r="9" spans="1:14" ht="19.2">
      <c r="A9" s="335"/>
      <c r="B9" s="7" t="s">
        <v>46</v>
      </c>
      <c r="C9" s="8" t="s">
        <v>47</v>
      </c>
      <c r="D9" s="9">
        <v>30000</v>
      </c>
      <c r="E9" s="10">
        <v>30000</v>
      </c>
      <c r="F9" s="11">
        <v>3000</v>
      </c>
      <c r="L9" s="12"/>
      <c r="M9" s="12"/>
      <c r="N9" s="12"/>
    </row>
    <row r="10" spans="1:14" ht="19.2">
      <c r="A10" s="335"/>
      <c r="B10" s="7" t="s">
        <v>48</v>
      </c>
      <c r="C10" s="8" t="s">
        <v>47</v>
      </c>
      <c r="D10" s="9">
        <v>45000</v>
      </c>
      <c r="E10" s="10">
        <v>45000</v>
      </c>
      <c r="F10" s="11">
        <v>5000</v>
      </c>
      <c r="L10" s="12"/>
      <c r="M10" s="12"/>
      <c r="N10" s="12"/>
    </row>
    <row r="11" spans="1:14" ht="19.2">
      <c r="A11" s="335"/>
      <c r="B11" s="7" t="s">
        <v>49</v>
      </c>
      <c r="C11" s="8" t="s">
        <v>47</v>
      </c>
      <c r="D11" s="9">
        <v>45000</v>
      </c>
      <c r="E11" s="10">
        <v>45000</v>
      </c>
      <c r="F11" s="11">
        <v>5000</v>
      </c>
      <c r="L11" s="12"/>
      <c r="M11" s="12"/>
      <c r="N11" s="12"/>
    </row>
    <row r="12" spans="1:14" ht="19.2">
      <c r="A12" s="335"/>
      <c r="B12" s="7" t="s">
        <v>50</v>
      </c>
      <c r="C12" s="8" t="s">
        <v>51</v>
      </c>
      <c r="D12" s="9">
        <v>80000</v>
      </c>
      <c r="E12" s="10">
        <v>80000</v>
      </c>
      <c r="F12" s="11">
        <v>8000</v>
      </c>
      <c r="L12" s="12"/>
      <c r="M12" s="12"/>
      <c r="N12" s="12"/>
    </row>
    <row r="13" spans="1:14" ht="19.2">
      <c r="A13" s="335"/>
      <c r="B13" s="7" t="s">
        <v>52</v>
      </c>
      <c r="C13" s="8" t="s">
        <v>51</v>
      </c>
      <c r="D13" s="9">
        <v>100000</v>
      </c>
      <c r="E13" s="10">
        <v>100000</v>
      </c>
      <c r="F13" s="11">
        <v>10000</v>
      </c>
      <c r="L13" s="12"/>
      <c r="M13" s="12"/>
      <c r="N13" s="12"/>
    </row>
    <row r="14" spans="1:14" ht="19.2">
      <c r="A14" s="335"/>
      <c r="B14" s="7" t="s">
        <v>53</v>
      </c>
      <c r="C14" s="8" t="s">
        <v>51</v>
      </c>
      <c r="D14" s="9">
        <v>100000</v>
      </c>
      <c r="E14" s="10">
        <v>100000</v>
      </c>
      <c r="F14" s="11">
        <v>10000</v>
      </c>
      <c r="L14" s="12"/>
      <c r="M14" s="12"/>
      <c r="N14" s="12"/>
    </row>
    <row r="15" spans="1:14" ht="19.2">
      <c r="A15" s="335"/>
      <c r="B15" s="7" t="s">
        <v>54</v>
      </c>
      <c r="C15" s="8" t="s">
        <v>55</v>
      </c>
      <c r="D15" s="9">
        <v>70000</v>
      </c>
      <c r="E15" s="10">
        <v>70000</v>
      </c>
      <c r="F15" s="11">
        <v>7000</v>
      </c>
      <c r="L15" s="12"/>
      <c r="M15" s="12"/>
      <c r="N15" s="12"/>
    </row>
    <row r="16" spans="1:14" ht="19.2">
      <c r="A16" s="335"/>
      <c r="B16" s="7" t="s">
        <v>56</v>
      </c>
      <c r="C16" s="8" t="s">
        <v>55</v>
      </c>
      <c r="D16" s="9">
        <v>95000</v>
      </c>
      <c r="E16" s="10">
        <v>95000</v>
      </c>
      <c r="F16" s="11">
        <v>10000</v>
      </c>
      <c r="L16" s="12"/>
      <c r="M16" s="12"/>
      <c r="N16" s="12"/>
    </row>
    <row r="17" spans="1:14" ht="19.2">
      <c r="A17" s="335"/>
      <c r="B17" s="7" t="s">
        <v>57</v>
      </c>
      <c r="C17" s="8" t="s">
        <v>55</v>
      </c>
      <c r="D17" s="9">
        <v>95000</v>
      </c>
      <c r="E17" s="10">
        <v>95000</v>
      </c>
      <c r="F17" s="11">
        <v>10000</v>
      </c>
      <c r="L17" s="12"/>
      <c r="M17" s="12"/>
      <c r="N17" s="12"/>
    </row>
    <row r="18" spans="1:14" ht="19.2">
      <c r="A18" s="335"/>
      <c r="B18" s="7" t="s">
        <v>58</v>
      </c>
      <c r="C18" s="8" t="s">
        <v>59</v>
      </c>
      <c r="D18" s="9">
        <v>155000</v>
      </c>
      <c r="E18" s="10">
        <v>155000</v>
      </c>
      <c r="F18" s="11">
        <v>16000</v>
      </c>
      <c r="L18" s="12"/>
      <c r="M18" s="12"/>
      <c r="N18" s="12"/>
    </row>
    <row r="19" spans="1:14" ht="19.2">
      <c r="A19" s="335"/>
      <c r="B19" s="7" t="s">
        <v>60</v>
      </c>
      <c r="C19" s="8" t="s">
        <v>59</v>
      </c>
      <c r="D19" s="9">
        <v>180000</v>
      </c>
      <c r="E19" s="10">
        <v>180000</v>
      </c>
      <c r="F19" s="11">
        <v>18000</v>
      </c>
      <c r="L19" s="12"/>
      <c r="M19" s="12"/>
      <c r="N19" s="12"/>
    </row>
    <row r="20" spans="1:14" ht="19.2">
      <c r="A20" s="335"/>
      <c r="B20" s="7" t="s">
        <v>61</v>
      </c>
      <c r="C20" s="8" t="s">
        <v>59</v>
      </c>
      <c r="D20" s="9">
        <v>180000</v>
      </c>
      <c r="E20" s="10">
        <v>180000</v>
      </c>
      <c r="F20" s="11">
        <v>18000</v>
      </c>
      <c r="L20" s="12"/>
      <c r="M20" s="12"/>
      <c r="N20" s="12"/>
    </row>
    <row r="21" spans="1:14" ht="19.2">
      <c r="A21" s="335"/>
      <c r="B21" s="7" t="s">
        <v>62</v>
      </c>
      <c r="C21" s="8" t="s">
        <v>63</v>
      </c>
      <c r="D21" s="9">
        <v>155000</v>
      </c>
      <c r="E21" s="10">
        <v>155000</v>
      </c>
      <c r="F21" s="11">
        <v>16000</v>
      </c>
      <c r="L21" s="12"/>
      <c r="M21" s="12"/>
      <c r="N21" s="12"/>
    </row>
    <row r="22" spans="1:14" ht="19.2">
      <c r="A22" s="335"/>
      <c r="B22" s="7" t="s">
        <v>64</v>
      </c>
      <c r="C22" s="8" t="s">
        <v>63</v>
      </c>
      <c r="D22" s="9">
        <v>185000</v>
      </c>
      <c r="E22" s="10">
        <v>185000</v>
      </c>
      <c r="F22" s="11">
        <v>19000</v>
      </c>
      <c r="L22" s="12"/>
      <c r="M22" s="12"/>
      <c r="N22" s="12"/>
    </row>
    <row r="23" spans="1:14" ht="19.2">
      <c r="A23" s="335"/>
      <c r="B23" s="7" t="s">
        <v>65</v>
      </c>
      <c r="C23" s="8" t="s">
        <v>66</v>
      </c>
      <c r="D23" s="9">
        <v>245000</v>
      </c>
      <c r="E23" s="10">
        <v>245000</v>
      </c>
      <c r="F23" s="11">
        <v>25000</v>
      </c>
      <c r="L23" s="12"/>
      <c r="M23" s="12"/>
      <c r="N23" s="12"/>
    </row>
    <row r="24" spans="1:14" ht="19.2">
      <c r="A24" s="335"/>
      <c r="B24" s="7" t="s">
        <v>67</v>
      </c>
      <c r="C24" s="8" t="s">
        <v>66</v>
      </c>
      <c r="D24" s="9">
        <v>280000</v>
      </c>
      <c r="E24" s="10">
        <v>280000</v>
      </c>
      <c r="F24" s="11">
        <v>28000</v>
      </c>
      <c r="L24" s="12"/>
      <c r="M24" s="12"/>
      <c r="N24" s="12"/>
    </row>
    <row r="25" spans="1:14" ht="19.2">
      <c r="A25" s="335"/>
      <c r="B25" s="7" t="s">
        <v>68</v>
      </c>
      <c r="C25" s="8" t="s">
        <v>69</v>
      </c>
      <c r="D25" s="9">
        <v>300000</v>
      </c>
      <c r="E25" s="10">
        <v>300000</v>
      </c>
      <c r="F25" s="11">
        <v>30000</v>
      </c>
      <c r="L25" s="12"/>
      <c r="M25" s="12"/>
      <c r="N25" s="12"/>
    </row>
    <row r="26" spans="1:14" ht="19.2">
      <c r="A26" s="335"/>
      <c r="B26" s="7" t="s">
        <v>70</v>
      </c>
      <c r="C26" s="8" t="s">
        <v>69</v>
      </c>
      <c r="D26" s="9">
        <v>340000</v>
      </c>
      <c r="E26" s="10">
        <v>340000</v>
      </c>
      <c r="F26" s="11">
        <v>34000</v>
      </c>
      <c r="L26" s="12"/>
      <c r="M26" s="12"/>
      <c r="N26" s="12"/>
    </row>
    <row r="27" spans="1:14" ht="19.2">
      <c r="A27" s="335"/>
      <c r="B27" s="7" t="s">
        <v>71</v>
      </c>
      <c r="C27" s="8" t="s">
        <v>72</v>
      </c>
      <c r="D27" s="13">
        <v>305000</v>
      </c>
      <c r="E27" s="10">
        <v>305000</v>
      </c>
      <c r="F27" s="14">
        <v>31000</v>
      </c>
      <c r="L27" s="12"/>
      <c r="M27" s="12"/>
      <c r="N27" s="12"/>
    </row>
    <row r="28" spans="1:14" ht="19.2">
      <c r="A28" s="335"/>
      <c r="B28" s="7" t="s">
        <v>73</v>
      </c>
      <c r="C28" s="8" t="s">
        <v>74</v>
      </c>
      <c r="D28" s="13">
        <v>345000</v>
      </c>
      <c r="E28" s="10">
        <v>345000</v>
      </c>
      <c r="F28" s="14">
        <v>35000</v>
      </c>
      <c r="L28" s="12"/>
      <c r="M28" s="12"/>
      <c r="N28" s="12"/>
    </row>
    <row r="29" spans="1:14" ht="19.2">
      <c r="A29" s="335"/>
      <c r="B29" s="7" t="s">
        <v>75</v>
      </c>
      <c r="C29" s="8" t="s">
        <v>74</v>
      </c>
      <c r="D29" s="13">
        <v>365000</v>
      </c>
      <c r="E29" s="10">
        <v>365000</v>
      </c>
      <c r="F29" s="14">
        <v>37000</v>
      </c>
      <c r="L29" s="12"/>
      <c r="M29" s="12"/>
      <c r="N29" s="12"/>
    </row>
    <row r="30" spans="1:14" ht="19.2">
      <c r="A30" s="335"/>
      <c r="B30" s="7" t="s">
        <v>76</v>
      </c>
      <c r="C30" s="8" t="s">
        <v>77</v>
      </c>
      <c r="D30" s="13">
        <v>370000</v>
      </c>
      <c r="E30" s="10">
        <v>370000</v>
      </c>
      <c r="F30" s="14">
        <v>37000</v>
      </c>
      <c r="L30" s="12"/>
      <c r="M30" s="12"/>
      <c r="N30" s="12"/>
    </row>
    <row r="31" spans="1:14" ht="19.2">
      <c r="A31" s="335"/>
      <c r="B31" s="7" t="s">
        <v>78</v>
      </c>
      <c r="C31" s="8" t="s">
        <v>79</v>
      </c>
      <c r="D31" s="13">
        <v>415000</v>
      </c>
      <c r="E31" s="10">
        <v>415000</v>
      </c>
      <c r="F31" s="14">
        <v>42000</v>
      </c>
      <c r="L31" s="12"/>
      <c r="M31" s="12"/>
      <c r="N31" s="12"/>
    </row>
    <row r="32" spans="1:14" ht="19.2">
      <c r="A32" s="335"/>
      <c r="B32" s="7" t="s">
        <v>80</v>
      </c>
      <c r="C32" s="8" t="s">
        <v>79</v>
      </c>
      <c r="D32" s="13">
        <v>430000</v>
      </c>
      <c r="E32" s="10">
        <v>430000</v>
      </c>
      <c r="F32" s="14">
        <v>43000</v>
      </c>
      <c r="L32" s="12"/>
      <c r="M32" s="12"/>
      <c r="N32" s="12"/>
    </row>
    <row r="33" spans="1:14" ht="19.2">
      <c r="A33" s="335"/>
      <c r="B33" s="7" t="s">
        <v>81</v>
      </c>
      <c r="C33" s="8" t="s">
        <v>82</v>
      </c>
      <c r="D33" s="13">
        <v>480000</v>
      </c>
      <c r="E33" s="10">
        <v>480000</v>
      </c>
      <c r="F33" s="14">
        <v>48000</v>
      </c>
      <c r="L33" s="12"/>
      <c r="M33" s="12"/>
      <c r="N33" s="12"/>
    </row>
    <row r="34" spans="1:14" ht="19.2">
      <c r="A34" s="335"/>
      <c r="B34" s="7" t="s">
        <v>83</v>
      </c>
      <c r="C34" s="8" t="s">
        <v>84</v>
      </c>
      <c r="D34" s="13">
        <v>550000</v>
      </c>
      <c r="E34" s="10">
        <v>550000</v>
      </c>
      <c r="F34" s="14">
        <v>55000</v>
      </c>
      <c r="L34" s="12"/>
      <c r="M34" s="12"/>
      <c r="N34" s="12"/>
    </row>
    <row r="35" spans="1:14" ht="19.8" thickBot="1">
      <c r="A35" s="336"/>
      <c r="B35" s="15" t="s">
        <v>85</v>
      </c>
      <c r="C35" s="16" t="s">
        <v>84</v>
      </c>
      <c r="D35" s="17">
        <v>560000</v>
      </c>
      <c r="E35" s="18">
        <v>560000</v>
      </c>
      <c r="F35" s="19">
        <v>56000</v>
      </c>
      <c r="L35" s="12"/>
      <c r="M35" s="12"/>
      <c r="N35" s="12"/>
    </row>
    <row r="36" spans="1:14" ht="19.2">
      <c r="A36" s="337" t="s">
        <v>86</v>
      </c>
      <c r="B36" s="7" t="s">
        <v>87</v>
      </c>
      <c r="C36" s="8" t="s">
        <v>88</v>
      </c>
      <c r="D36" s="9">
        <v>15000</v>
      </c>
      <c r="E36" s="10">
        <v>15000</v>
      </c>
      <c r="F36" s="11">
        <v>2000</v>
      </c>
    </row>
    <row r="37" spans="1:14" ht="19.2">
      <c r="A37" s="337"/>
      <c r="B37" s="7" t="s">
        <v>89</v>
      </c>
      <c r="C37" s="8" t="s">
        <v>90</v>
      </c>
      <c r="D37" s="9">
        <v>20000</v>
      </c>
      <c r="E37" s="10">
        <v>20000</v>
      </c>
      <c r="F37" s="11">
        <v>2000</v>
      </c>
    </row>
    <row r="38" spans="1:14" ht="19.2">
      <c r="A38" s="337"/>
      <c r="B38" s="7" t="s">
        <v>91</v>
      </c>
      <c r="C38" s="8" t="s">
        <v>92</v>
      </c>
      <c r="D38" s="9">
        <v>50000</v>
      </c>
      <c r="E38" s="10">
        <v>50000</v>
      </c>
      <c r="F38" s="11">
        <v>5000</v>
      </c>
    </row>
    <row r="39" spans="1:14" ht="19.2">
      <c r="A39" s="337"/>
      <c r="B39" s="20" t="s">
        <v>93</v>
      </c>
      <c r="C39" s="21" t="s">
        <v>94</v>
      </c>
      <c r="D39" s="22">
        <v>40000</v>
      </c>
      <c r="E39" s="23">
        <v>40000</v>
      </c>
      <c r="F39" s="24">
        <v>4000</v>
      </c>
    </row>
    <row r="40" spans="1:14" ht="19.2">
      <c r="A40" s="337"/>
      <c r="B40" s="7" t="s">
        <v>95</v>
      </c>
      <c r="C40" s="8" t="s">
        <v>96</v>
      </c>
      <c r="D40" s="9">
        <v>65000</v>
      </c>
      <c r="E40" s="10">
        <v>65000</v>
      </c>
      <c r="F40" s="11">
        <v>7000</v>
      </c>
    </row>
    <row r="41" spans="1:14" ht="19.2">
      <c r="A41" s="337"/>
      <c r="B41" s="25" t="s">
        <v>97</v>
      </c>
      <c r="C41" s="26" t="s">
        <v>3</v>
      </c>
      <c r="D41" s="9">
        <v>125000</v>
      </c>
      <c r="E41" s="10">
        <v>125000</v>
      </c>
      <c r="F41" s="11">
        <v>13000</v>
      </c>
    </row>
    <row r="42" spans="1:14" ht="19.2">
      <c r="A42" s="337"/>
      <c r="B42" s="25" t="s">
        <v>98</v>
      </c>
      <c r="C42" s="26" t="s">
        <v>4</v>
      </c>
      <c r="D42" s="9">
        <v>155000</v>
      </c>
      <c r="E42" s="10">
        <v>155000</v>
      </c>
      <c r="F42" s="11">
        <v>16000</v>
      </c>
    </row>
    <row r="43" spans="1:14" ht="19.2">
      <c r="A43" s="337"/>
      <c r="B43" s="25" t="s">
        <v>99</v>
      </c>
      <c r="C43" s="26" t="s">
        <v>100</v>
      </c>
      <c r="D43" s="9">
        <v>180000</v>
      </c>
      <c r="E43" s="10">
        <v>180000</v>
      </c>
      <c r="F43" s="11">
        <v>18000</v>
      </c>
    </row>
    <row r="44" spans="1:14" ht="19.2">
      <c r="A44" s="337"/>
      <c r="B44" s="27" t="s">
        <v>101</v>
      </c>
      <c r="C44" s="28" t="s">
        <v>102</v>
      </c>
      <c r="D44" s="29">
        <v>215000</v>
      </c>
      <c r="E44" s="30">
        <v>215000</v>
      </c>
      <c r="F44" s="31">
        <v>22000</v>
      </c>
    </row>
    <row r="45" spans="1:14" ht="19.2">
      <c r="A45" s="337"/>
      <c r="B45" s="7" t="s">
        <v>103</v>
      </c>
      <c r="C45" s="8" t="s">
        <v>104</v>
      </c>
      <c r="D45" s="9">
        <v>10000</v>
      </c>
      <c r="E45" s="32">
        <v>10000</v>
      </c>
      <c r="F45" s="11">
        <v>1000</v>
      </c>
    </row>
    <row r="46" spans="1:14" ht="19.2">
      <c r="A46" s="337"/>
      <c r="B46" s="7" t="s">
        <v>105</v>
      </c>
      <c r="C46" s="8" t="s">
        <v>106</v>
      </c>
      <c r="D46" s="9">
        <v>20000</v>
      </c>
      <c r="E46" s="32">
        <v>20000</v>
      </c>
      <c r="F46" s="11">
        <v>2000</v>
      </c>
    </row>
    <row r="47" spans="1:14" ht="19.2">
      <c r="A47" s="337"/>
      <c r="B47" s="7" t="s">
        <v>107</v>
      </c>
      <c r="C47" s="8" t="s">
        <v>108</v>
      </c>
      <c r="D47" s="9">
        <v>15000</v>
      </c>
      <c r="E47" s="32">
        <v>15000</v>
      </c>
      <c r="F47" s="11">
        <v>2000</v>
      </c>
    </row>
    <row r="48" spans="1:14" ht="19.2">
      <c r="A48" s="337"/>
      <c r="B48" s="7" t="s">
        <v>109</v>
      </c>
      <c r="C48" s="33" t="s">
        <v>110</v>
      </c>
      <c r="D48" s="9">
        <v>65000</v>
      </c>
      <c r="E48" s="32">
        <v>65000</v>
      </c>
      <c r="F48" s="11">
        <v>7000</v>
      </c>
    </row>
    <row r="49" spans="1:6" ht="19.2">
      <c r="A49" s="337"/>
      <c r="B49" s="7" t="s">
        <v>111</v>
      </c>
      <c r="C49" s="33" t="s">
        <v>112</v>
      </c>
      <c r="D49" s="9">
        <v>45000</v>
      </c>
      <c r="E49" s="32">
        <v>45000</v>
      </c>
      <c r="F49" s="11">
        <v>5000</v>
      </c>
    </row>
    <row r="50" spans="1:6" ht="19.2">
      <c r="A50" s="337"/>
      <c r="B50" s="7" t="s">
        <v>113</v>
      </c>
      <c r="C50" s="8" t="s">
        <v>114</v>
      </c>
      <c r="D50" s="9">
        <v>10000</v>
      </c>
      <c r="E50" s="32">
        <v>10000</v>
      </c>
      <c r="F50" s="11">
        <v>1000</v>
      </c>
    </row>
    <row r="51" spans="1:6" ht="19.2">
      <c r="A51" s="337"/>
      <c r="B51" s="7" t="s">
        <v>115</v>
      </c>
      <c r="C51" s="8" t="s">
        <v>116</v>
      </c>
      <c r="D51" s="9">
        <v>5000</v>
      </c>
      <c r="E51" s="32">
        <v>5000</v>
      </c>
      <c r="F51" s="11">
        <v>1000</v>
      </c>
    </row>
    <row r="52" spans="1:6" ht="19.2">
      <c r="A52" s="337"/>
      <c r="B52" s="7" t="s">
        <v>117</v>
      </c>
      <c r="C52" s="8" t="s">
        <v>118</v>
      </c>
      <c r="D52" s="9">
        <v>5000</v>
      </c>
      <c r="E52" s="32">
        <v>5000</v>
      </c>
      <c r="F52" s="11">
        <v>1000</v>
      </c>
    </row>
    <row r="53" spans="1:6" ht="19.2">
      <c r="A53" s="337"/>
      <c r="B53" s="7" t="s">
        <v>119</v>
      </c>
      <c r="C53" s="8" t="s">
        <v>120</v>
      </c>
      <c r="D53" s="9">
        <v>45000</v>
      </c>
      <c r="E53" s="32">
        <v>45000</v>
      </c>
      <c r="F53" s="11">
        <v>5000</v>
      </c>
    </row>
    <row r="54" spans="1:6" ht="19.2">
      <c r="A54" s="337"/>
      <c r="B54" s="7" t="s">
        <v>121</v>
      </c>
      <c r="C54" s="8" t="s">
        <v>122</v>
      </c>
      <c r="D54" s="9">
        <v>55000</v>
      </c>
      <c r="E54" s="32">
        <v>55000</v>
      </c>
      <c r="F54" s="11">
        <v>6000</v>
      </c>
    </row>
    <row r="55" spans="1:6" ht="19.2">
      <c r="A55" s="337"/>
      <c r="B55" s="7" t="s">
        <v>123</v>
      </c>
      <c r="C55" s="8" t="s">
        <v>124</v>
      </c>
      <c r="D55" s="9">
        <v>180000</v>
      </c>
      <c r="E55" s="32">
        <v>180000</v>
      </c>
      <c r="F55" s="11">
        <v>18000</v>
      </c>
    </row>
    <row r="56" spans="1:6" ht="19.2">
      <c r="A56" s="337"/>
      <c r="B56" s="7" t="s">
        <v>125</v>
      </c>
      <c r="C56" s="8" t="s">
        <v>126</v>
      </c>
      <c r="D56" s="9">
        <v>280000</v>
      </c>
      <c r="E56" s="32">
        <v>280000</v>
      </c>
      <c r="F56" s="11">
        <v>28000</v>
      </c>
    </row>
    <row r="57" spans="1:6" ht="19.2">
      <c r="A57" s="337"/>
      <c r="B57" s="7" t="s">
        <v>127</v>
      </c>
      <c r="C57" s="8" t="s">
        <v>128</v>
      </c>
      <c r="D57" s="9">
        <v>5000</v>
      </c>
      <c r="E57" s="32">
        <v>5000</v>
      </c>
      <c r="F57" s="11">
        <v>1000</v>
      </c>
    </row>
    <row r="58" spans="1:6" ht="19.2">
      <c r="A58" s="337"/>
      <c r="B58" s="7" t="s">
        <v>129</v>
      </c>
      <c r="C58" s="33" t="s">
        <v>130</v>
      </c>
      <c r="D58" s="9">
        <v>20000</v>
      </c>
      <c r="E58" s="32">
        <v>20000</v>
      </c>
      <c r="F58" s="11">
        <v>2000</v>
      </c>
    </row>
    <row r="59" spans="1:6" ht="19.2">
      <c r="A59" s="337"/>
      <c r="B59" s="7" t="s">
        <v>8</v>
      </c>
      <c r="C59" s="8" t="s">
        <v>131</v>
      </c>
      <c r="D59" s="34">
        <v>10000</v>
      </c>
      <c r="E59" s="32">
        <v>10000</v>
      </c>
      <c r="F59" s="14">
        <v>1000</v>
      </c>
    </row>
    <row r="60" spans="1:6" ht="19.8" thickBot="1">
      <c r="A60" s="338"/>
      <c r="B60" s="15" t="s">
        <v>132</v>
      </c>
      <c r="C60" s="16" t="s">
        <v>133</v>
      </c>
      <c r="D60" s="35">
        <v>30000</v>
      </c>
      <c r="E60" s="36">
        <v>30000</v>
      </c>
      <c r="F60" s="19">
        <v>3000</v>
      </c>
    </row>
    <row r="61" spans="1:6" ht="19.2">
      <c r="A61" s="326" t="s">
        <v>134</v>
      </c>
      <c r="B61" s="7" t="s">
        <v>0</v>
      </c>
      <c r="C61" s="8" t="s">
        <v>135</v>
      </c>
      <c r="D61" s="34">
        <v>5000</v>
      </c>
      <c r="E61" s="32">
        <v>5000</v>
      </c>
      <c r="F61" s="14">
        <v>1000</v>
      </c>
    </row>
    <row r="62" spans="1:6" ht="19.2">
      <c r="A62" s="326"/>
      <c r="B62" s="7" t="s">
        <v>136</v>
      </c>
      <c r="C62" s="8" t="s">
        <v>137</v>
      </c>
      <c r="D62" s="34">
        <v>45000</v>
      </c>
      <c r="E62" s="32">
        <v>45000</v>
      </c>
      <c r="F62" s="14">
        <v>5000</v>
      </c>
    </row>
    <row r="63" spans="1:6" ht="19.2">
      <c r="A63" s="326"/>
      <c r="B63" s="7" t="s">
        <v>138</v>
      </c>
      <c r="C63" s="8" t="s">
        <v>139</v>
      </c>
      <c r="D63" s="34">
        <v>5000</v>
      </c>
      <c r="E63" s="32">
        <v>5000</v>
      </c>
      <c r="F63" s="14">
        <v>1000</v>
      </c>
    </row>
    <row r="64" spans="1:6" ht="19.2">
      <c r="A64" s="326"/>
      <c r="B64" s="7" t="s">
        <v>1</v>
      </c>
      <c r="C64" s="8" t="s">
        <v>140</v>
      </c>
      <c r="D64" s="34">
        <v>5000</v>
      </c>
      <c r="E64" s="32">
        <v>5000</v>
      </c>
      <c r="F64" s="14">
        <v>1000</v>
      </c>
    </row>
    <row r="65" spans="1:6" ht="19.2">
      <c r="A65" s="326"/>
      <c r="B65" s="7" t="s">
        <v>141</v>
      </c>
      <c r="C65" s="8" t="s">
        <v>142</v>
      </c>
      <c r="D65" s="34">
        <v>20000</v>
      </c>
      <c r="E65" s="32">
        <v>20000</v>
      </c>
      <c r="F65" s="14">
        <v>2000</v>
      </c>
    </row>
    <row r="66" spans="1:6" ht="19.8" thickBot="1">
      <c r="A66" s="327"/>
      <c r="B66" s="15" t="s">
        <v>143</v>
      </c>
      <c r="C66" s="16" t="s">
        <v>144</v>
      </c>
      <c r="D66" s="35">
        <v>5000</v>
      </c>
      <c r="E66" s="36">
        <v>5000</v>
      </c>
      <c r="F66" s="19">
        <v>1000</v>
      </c>
    </row>
  </sheetData>
  <mergeCells count="6">
    <mergeCell ref="A61:A66"/>
    <mergeCell ref="A1:A2"/>
    <mergeCell ref="B1:C1"/>
    <mergeCell ref="D1:F1"/>
    <mergeCell ref="A3:A35"/>
    <mergeCell ref="A36:A60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H28" sqref="H28"/>
    </sheetView>
  </sheetViews>
  <sheetFormatPr defaultColWidth="8.69921875" defaultRowHeight="17.399999999999999"/>
  <cols>
    <col min="1" max="16384" width="8.69921875" style="39"/>
  </cols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19"/>
  <sheetViews>
    <sheetView showGridLines="0" workbookViewId="0">
      <selection activeCell="D24" sqref="D24"/>
    </sheetView>
  </sheetViews>
  <sheetFormatPr defaultRowHeight="17.399999999999999"/>
  <cols>
    <col min="1" max="1" width="1.796875" customWidth="1"/>
    <col min="2" max="2" width="17.09765625" bestFit="1" customWidth="1"/>
    <col min="3" max="5" width="22.19921875" customWidth="1"/>
    <col min="6" max="6" width="19.796875" customWidth="1"/>
  </cols>
  <sheetData>
    <row r="1" spans="2:7" s="87" customFormat="1" ht="30" customHeight="1">
      <c r="F1" s="107"/>
    </row>
    <row r="2" spans="2:7" s="109" customFormat="1" ht="23.1" customHeight="1">
      <c r="B2" s="192" t="s">
        <v>678</v>
      </c>
      <c r="C2" s="192" t="s">
        <v>679</v>
      </c>
      <c r="D2" s="192" t="s">
        <v>680</v>
      </c>
      <c r="E2" s="192" t="s">
        <v>681</v>
      </c>
      <c r="F2" s="192" t="s">
        <v>685</v>
      </c>
      <c r="G2" s="192"/>
    </row>
    <row r="3" spans="2:7" s="288" customFormat="1" ht="23.1" customHeight="1">
      <c r="B3" s="287" t="s">
        <v>682</v>
      </c>
      <c r="C3" s="287" t="s">
        <v>683</v>
      </c>
      <c r="D3" s="287" t="s">
        <v>684</v>
      </c>
      <c r="E3" s="287" t="s">
        <v>686</v>
      </c>
      <c r="F3" s="287" t="s">
        <v>689</v>
      </c>
      <c r="G3" s="287"/>
    </row>
    <row r="4" spans="2:7" s="288" customFormat="1" ht="23.1" customHeight="1">
      <c r="B4" s="287" t="s">
        <v>682</v>
      </c>
      <c r="C4" s="287" t="s">
        <v>683</v>
      </c>
      <c r="D4" s="287" t="s">
        <v>687</v>
      </c>
      <c r="E4" s="287" t="s">
        <v>686</v>
      </c>
      <c r="F4" s="287" t="s">
        <v>688</v>
      </c>
      <c r="G4" s="287"/>
    </row>
    <row r="5" spans="2:7" s="288" customFormat="1" ht="23.1" customHeight="1">
      <c r="B5" s="287" t="s">
        <v>690</v>
      </c>
      <c r="C5" s="287" t="s">
        <v>691</v>
      </c>
      <c r="D5" s="287" t="s">
        <v>692</v>
      </c>
      <c r="E5" s="287" t="s">
        <v>693</v>
      </c>
      <c r="F5" s="287" t="s">
        <v>694</v>
      </c>
      <c r="G5" s="287"/>
    </row>
    <row r="6" spans="2:7" s="288" customFormat="1" ht="23.1" customHeight="1">
      <c r="B6" s="287" t="s">
        <v>690</v>
      </c>
      <c r="C6" s="287" t="s">
        <v>695</v>
      </c>
      <c r="D6" s="287" t="s">
        <v>696</v>
      </c>
      <c r="E6" s="287" t="s">
        <v>697</v>
      </c>
      <c r="F6" s="287" t="s">
        <v>698</v>
      </c>
      <c r="G6" s="287"/>
    </row>
    <row r="7" spans="2:7" s="288" customFormat="1" ht="23.1" customHeight="1">
      <c r="B7" s="287" t="s">
        <v>690</v>
      </c>
      <c r="C7" s="287" t="s">
        <v>699</v>
      </c>
      <c r="D7" s="287" t="s">
        <v>700</v>
      </c>
      <c r="E7" s="287" t="s">
        <v>693</v>
      </c>
      <c r="F7" s="287" t="s">
        <v>701</v>
      </c>
      <c r="G7" s="287"/>
    </row>
    <row r="9" spans="2:7" s="75" customFormat="1" ht="26.1" customHeight="1">
      <c r="B9" s="108" t="s">
        <v>546</v>
      </c>
    </row>
    <row r="10" spans="2:7" s="100" customFormat="1" ht="23.1" customHeight="1">
      <c r="B10" s="193" t="s">
        <v>221</v>
      </c>
      <c r="C10" s="194" t="s">
        <v>245</v>
      </c>
      <c r="D10" s="195" t="s">
        <v>542</v>
      </c>
      <c r="E10" s="196"/>
      <c r="F10" s="196"/>
      <c r="G10" s="196"/>
    </row>
    <row r="11" spans="2:7" s="102" customFormat="1" ht="23.1" customHeight="1">
      <c r="B11" s="110" t="s">
        <v>246</v>
      </c>
      <c r="C11" s="111" t="s">
        <v>247</v>
      </c>
      <c r="D11" s="112" t="s">
        <v>252</v>
      </c>
      <c r="E11" s="113"/>
      <c r="F11" s="113"/>
      <c r="G11" s="113"/>
    </row>
    <row r="12" spans="2:7" s="102" customFormat="1" ht="23.1" customHeight="1">
      <c r="B12" s="110" t="s">
        <v>248</v>
      </c>
      <c r="C12" s="111" t="s">
        <v>253</v>
      </c>
      <c r="D12" s="112" t="s">
        <v>255</v>
      </c>
      <c r="E12" s="113"/>
      <c r="F12" s="113"/>
      <c r="G12" s="113"/>
    </row>
    <row r="13" spans="2:7" s="102" customFormat="1" ht="23.1" customHeight="1">
      <c r="B13" s="110" t="s">
        <v>249</v>
      </c>
      <c r="C13" s="111" t="s">
        <v>254</v>
      </c>
      <c r="D13" s="112" t="s">
        <v>256</v>
      </c>
      <c r="E13" s="113"/>
      <c r="F13" s="113"/>
      <c r="G13" s="113"/>
    </row>
    <row r="14" spans="2:7" s="102" customFormat="1" ht="23.1" customHeight="1">
      <c r="B14" s="110" t="s">
        <v>251</v>
      </c>
      <c r="C14" s="111"/>
      <c r="D14" s="112" t="s">
        <v>250</v>
      </c>
      <c r="E14" s="113"/>
      <c r="F14" s="113"/>
      <c r="G14" s="113"/>
    </row>
    <row r="15" spans="2:7" s="1" customFormat="1" ht="23.1" customHeight="1"/>
    <row r="16" spans="2:7" s="75" customFormat="1" ht="26.1" customHeight="1">
      <c r="B16" s="108" t="s">
        <v>545</v>
      </c>
    </row>
    <row r="17" spans="2:7" s="100" customFormat="1" ht="23.1" customHeight="1">
      <c r="B17" s="193" t="s">
        <v>221</v>
      </c>
      <c r="C17" s="194" t="s">
        <v>225</v>
      </c>
      <c r="D17" s="194" t="s">
        <v>226</v>
      </c>
      <c r="E17" s="195" t="s">
        <v>543</v>
      </c>
      <c r="F17" s="196"/>
      <c r="G17" s="196"/>
    </row>
    <row r="18" spans="2:7" s="102" customFormat="1" ht="23.1" customHeight="1">
      <c r="B18" s="114" t="s">
        <v>198</v>
      </c>
      <c r="C18" s="111" t="s">
        <v>223</v>
      </c>
      <c r="D18" s="111" t="s">
        <v>222</v>
      </c>
      <c r="E18" s="112" t="s">
        <v>355</v>
      </c>
      <c r="F18" s="113"/>
      <c r="G18" s="113"/>
    </row>
    <row r="19" spans="2:7" s="102" customFormat="1" ht="23.1" customHeight="1">
      <c r="B19" s="114" t="s">
        <v>200</v>
      </c>
      <c r="C19" s="111" t="s">
        <v>544</v>
      </c>
      <c r="D19" s="111" t="s">
        <v>224</v>
      </c>
      <c r="E19" s="112" t="s">
        <v>677</v>
      </c>
      <c r="F19" s="113"/>
      <c r="G19" s="11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47"/>
  <sheetViews>
    <sheetView workbookViewId="0">
      <selection activeCell="I29" sqref="I29"/>
    </sheetView>
  </sheetViews>
  <sheetFormatPr defaultRowHeight="17.399999999999999"/>
  <cols>
    <col min="2" max="2" width="11.09765625" customWidth="1"/>
    <col min="3" max="3" width="13" customWidth="1"/>
    <col min="4" max="4" width="17.8984375" customWidth="1"/>
    <col min="5" max="5" width="21.09765625" customWidth="1"/>
    <col min="6" max="6" width="13.19921875" customWidth="1"/>
    <col min="7" max="23" width="9" style="39"/>
  </cols>
  <sheetData>
    <row r="1" spans="1:23" s="39" customFormat="1"/>
    <row r="2" spans="1:23" s="39" customFormat="1"/>
    <row r="3" spans="1:23" s="159" customFormat="1" ht="22.05" hidden="1" customHeight="1">
      <c r="A3" s="158"/>
      <c r="B3" s="228" t="s">
        <v>669</v>
      </c>
      <c r="C3" s="228" t="s">
        <v>670</v>
      </c>
      <c r="D3" s="228" t="s">
        <v>146</v>
      </c>
      <c r="E3" s="228" t="s">
        <v>673</v>
      </c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</row>
    <row r="4" spans="1:23" ht="22.05" hidden="1" customHeight="1">
      <c r="A4" s="39"/>
      <c r="B4" s="339" t="s">
        <v>671</v>
      </c>
      <c r="C4" s="160" t="s">
        <v>357</v>
      </c>
      <c r="D4" s="167">
        <v>640000</v>
      </c>
      <c r="E4" s="342" t="s">
        <v>675</v>
      </c>
      <c r="F4" s="39"/>
    </row>
    <row r="5" spans="1:23" ht="22.05" hidden="1" customHeight="1">
      <c r="A5" s="39"/>
      <c r="B5" s="340"/>
      <c r="C5" s="162" t="s">
        <v>520</v>
      </c>
      <c r="D5" s="163">
        <v>540000</v>
      </c>
      <c r="E5" s="343"/>
      <c r="F5" s="39"/>
    </row>
    <row r="6" spans="1:23" ht="22.05" hidden="1" customHeight="1">
      <c r="A6" s="39"/>
      <c r="B6" s="340"/>
      <c r="C6" s="162" t="s">
        <v>538</v>
      </c>
      <c r="D6" s="163">
        <v>540000</v>
      </c>
      <c r="E6" s="343"/>
      <c r="F6" s="39"/>
    </row>
    <row r="7" spans="1:23" ht="22.05" hidden="1" customHeight="1">
      <c r="A7" s="39"/>
      <c r="B7" s="340"/>
      <c r="C7" s="162" t="s">
        <v>521</v>
      </c>
      <c r="D7" s="163">
        <v>540000</v>
      </c>
      <c r="E7" s="343"/>
      <c r="F7" s="39"/>
    </row>
    <row r="8" spans="1:23" ht="22.05" hidden="1" customHeight="1">
      <c r="A8" s="39"/>
      <c r="B8" s="341"/>
      <c r="C8" s="164" t="s">
        <v>537</v>
      </c>
      <c r="D8" s="165">
        <v>440000</v>
      </c>
      <c r="E8" s="343"/>
      <c r="F8" s="39"/>
    </row>
    <row r="9" spans="1:23" ht="22.05" hidden="1" customHeight="1">
      <c r="A9" s="39"/>
      <c r="B9" s="339" t="s">
        <v>708</v>
      </c>
      <c r="C9" s="160" t="s">
        <v>357</v>
      </c>
      <c r="D9" s="167">
        <v>550000</v>
      </c>
      <c r="E9" s="343"/>
      <c r="F9" s="39"/>
    </row>
    <row r="10" spans="1:23" ht="22.05" hidden="1" customHeight="1">
      <c r="A10" s="39"/>
      <c r="B10" s="340"/>
      <c r="C10" s="162" t="s">
        <v>520</v>
      </c>
      <c r="D10" s="163">
        <v>490000</v>
      </c>
      <c r="E10" s="343"/>
      <c r="F10" s="39"/>
    </row>
    <row r="11" spans="1:23" ht="22.05" hidden="1" customHeight="1">
      <c r="A11" s="39"/>
      <c r="B11" s="340"/>
      <c r="C11" s="162" t="s">
        <v>538</v>
      </c>
      <c r="D11" s="163">
        <v>490000</v>
      </c>
      <c r="E11" s="343"/>
      <c r="F11" s="39"/>
    </row>
    <row r="12" spans="1:23" ht="22.05" hidden="1" customHeight="1">
      <c r="A12" s="39"/>
      <c r="B12" s="340"/>
      <c r="C12" s="162" t="s">
        <v>521</v>
      </c>
      <c r="D12" s="163">
        <v>450000</v>
      </c>
      <c r="E12" s="343"/>
      <c r="F12" s="39"/>
    </row>
    <row r="13" spans="1:23" ht="22.05" hidden="1" customHeight="1">
      <c r="A13" s="39"/>
      <c r="B13" s="341"/>
      <c r="C13" s="164" t="s">
        <v>537</v>
      </c>
      <c r="D13" s="165">
        <v>390000</v>
      </c>
      <c r="E13" s="343"/>
      <c r="F13" s="39"/>
    </row>
    <row r="14" spans="1:23" ht="22.05" hidden="1" customHeight="1">
      <c r="A14" s="39"/>
      <c r="B14" s="339" t="s">
        <v>672</v>
      </c>
      <c r="C14" s="160" t="s">
        <v>357</v>
      </c>
      <c r="D14" s="161">
        <v>450000</v>
      </c>
      <c r="E14" s="343"/>
      <c r="F14" s="39"/>
    </row>
    <row r="15" spans="1:23" ht="22.05" hidden="1" customHeight="1">
      <c r="A15" s="39"/>
      <c r="B15" s="340"/>
      <c r="C15" s="162" t="s">
        <v>520</v>
      </c>
      <c r="D15" s="163">
        <v>410000</v>
      </c>
      <c r="E15" s="343"/>
      <c r="F15" s="39"/>
    </row>
    <row r="16" spans="1:23" ht="22.05" hidden="1" customHeight="1">
      <c r="A16" s="39"/>
      <c r="B16" s="340"/>
      <c r="C16" s="162" t="s">
        <v>538</v>
      </c>
      <c r="D16" s="163">
        <v>410000</v>
      </c>
      <c r="E16" s="343"/>
      <c r="F16" s="39"/>
    </row>
    <row r="17" spans="1:23" ht="22.05" hidden="1" customHeight="1">
      <c r="A17" s="39"/>
      <c r="B17" s="340"/>
      <c r="C17" s="162" t="s">
        <v>521</v>
      </c>
      <c r="D17" s="163">
        <v>370000</v>
      </c>
      <c r="E17" s="343"/>
      <c r="F17" s="39"/>
    </row>
    <row r="18" spans="1:23" ht="22.05" hidden="1" customHeight="1">
      <c r="A18" s="39"/>
      <c r="B18" s="341"/>
      <c r="C18" s="164" t="s">
        <v>537</v>
      </c>
      <c r="D18" s="165">
        <v>290000</v>
      </c>
      <c r="E18" s="344"/>
      <c r="F18" s="39"/>
    </row>
    <row r="19" spans="1:23" ht="20.100000000000001" hidden="1" customHeight="1">
      <c r="A19" s="39"/>
      <c r="B19" s="166" t="s">
        <v>674</v>
      </c>
      <c r="C19" s="166"/>
      <c r="D19" s="166"/>
      <c r="E19" s="166"/>
      <c r="F19" s="39"/>
    </row>
    <row r="20" spans="1:23">
      <c r="A20" s="39"/>
      <c r="B20" s="39"/>
      <c r="C20" s="39"/>
      <c r="D20" s="39"/>
      <c r="E20" s="39"/>
      <c r="F20" s="39"/>
    </row>
    <row r="21" spans="1:23">
      <c r="A21" s="39"/>
      <c r="B21" s="39"/>
      <c r="C21" s="39"/>
      <c r="D21" s="39"/>
      <c r="E21" s="39"/>
      <c r="F21" s="39"/>
    </row>
    <row r="22" spans="1:23" s="159" customFormat="1" ht="22.05" customHeight="1">
      <c r="A22" s="158"/>
      <c r="B22" s="345" t="s">
        <v>669</v>
      </c>
      <c r="C22" s="346"/>
      <c r="D22" s="289" t="s">
        <v>229</v>
      </c>
      <c r="E22" s="345" t="s">
        <v>673</v>
      </c>
      <c r="F22" s="346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</row>
    <row r="23" spans="1:23" s="159" customFormat="1" ht="22.05" customHeight="1">
      <c r="A23" s="158"/>
      <c r="B23" s="353" t="s">
        <v>1393</v>
      </c>
      <c r="C23" s="354"/>
      <c r="D23" s="206">
        <v>150000</v>
      </c>
      <c r="E23" s="347" t="s">
        <v>1397</v>
      </c>
      <c r="F23" s="34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</row>
    <row r="24" spans="1:23" s="159" customFormat="1" ht="22.05" customHeight="1">
      <c r="A24" s="158"/>
      <c r="B24" s="355" t="s">
        <v>1394</v>
      </c>
      <c r="C24" s="356"/>
      <c r="D24" s="207">
        <v>150000</v>
      </c>
      <c r="E24" s="349"/>
      <c r="F24" s="350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</row>
    <row r="25" spans="1:23" ht="22.05" customHeight="1">
      <c r="A25" s="39"/>
      <c r="B25" s="340" t="s">
        <v>1574</v>
      </c>
      <c r="C25" s="340"/>
      <c r="D25" s="163">
        <v>200000</v>
      </c>
      <c r="E25" s="349"/>
      <c r="F25" s="350"/>
    </row>
    <row r="26" spans="1:23" ht="22.05" customHeight="1">
      <c r="A26" s="39"/>
      <c r="B26" s="340" t="s">
        <v>1395</v>
      </c>
      <c r="C26" s="340"/>
      <c r="D26" s="296">
        <v>240000</v>
      </c>
      <c r="E26" s="349"/>
      <c r="F26" s="350"/>
    </row>
    <row r="27" spans="1:23" ht="22.05" customHeight="1">
      <c r="A27" s="39"/>
      <c r="B27" s="341" t="s">
        <v>1396</v>
      </c>
      <c r="C27" s="341"/>
      <c r="D27" s="165">
        <v>150000</v>
      </c>
      <c r="E27" s="351"/>
      <c r="F27" s="352"/>
    </row>
    <row r="28" spans="1:23" ht="20.100000000000001" customHeight="1">
      <c r="A28" s="39"/>
      <c r="B28" s="39" t="s">
        <v>676</v>
      </c>
      <c r="C28" s="39"/>
      <c r="D28" s="39"/>
      <c r="E28" s="39"/>
      <c r="F28" s="39"/>
    </row>
    <row r="29" spans="1:23" ht="20.100000000000001" customHeight="1">
      <c r="A29" s="39"/>
      <c r="B29" s="39" t="s">
        <v>1575</v>
      </c>
      <c r="C29" s="39"/>
      <c r="D29" s="39"/>
      <c r="E29" s="39"/>
      <c r="F29" s="39"/>
    </row>
    <row r="30" spans="1:23" s="39" customFormat="1" ht="22.05" customHeight="1">
      <c r="B30" s="39" t="s">
        <v>1576</v>
      </c>
    </row>
    <row r="31" spans="1:23" s="39" customFormat="1"/>
    <row r="32" spans="1:23" s="39" customFormat="1"/>
    <row r="33" s="39" customFormat="1"/>
    <row r="34" s="39" customFormat="1"/>
    <row r="35" s="39" customFormat="1"/>
    <row r="36" s="39" customFormat="1"/>
    <row r="37" s="39" customFormat="1"/>
    <row r="38" s="39" customFormat="1"/>
    <row r="39" s="39" customFormat="1"/>
    <row r="40" s="39" customFormat="1"/>
    <row r="41" s="39" customFormat="1"/>
    <row r="42" s="39" customFormat="1"/>
    <row r="43" s="39" customFormat="1"/>
    <row r="44" s="39" customFormat="1"/>
    <row r="45" s="39" customFormat="1"/>
    <row r="46" s="39" customFormat="1"/>
    <row r="47" s="39" customFormat="1"/>
  </sheetData>
  <mergeCells count="12">
    <mergeCell ref="B4:B8"/>
    <mergeCell ref="B14:B18"/>
    <mergeCell ref="E4:E18"/>
    <mergeCell ref="B25:C25"/>
    <mergeCell ref="B27:C27"/>
    <mergeCell ref="B22:C22"/>
    <mergeCell ref="E22:F22"/>
    <mergeCell ref="B9:B13"/>
    <mergeCell ref="E23:F27"/>
    <mergeCell ref="B23:C23"/>
    <mergeCell ref="B24:C24"/>
    <mergeCell ref="B26:C26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  <pageSetUpPr fitToPage="1"/>
  </sheetPr>
  <dimension ref="A1:Z215"/>
  <sheetViews>
    <sheetView showGridLines="0" zoomScale="90" zoomScaleNormal="90" workbookViewId="0">
      <pane ySplit="8" topLeftCell="A31" activePane="bottomLeft" state="frozen"/>
      <selection activeCell="B1" sqref="B1:E16"/>
      <selection pane="bottomLeft" activeCell="P35" sqref="P35"/>
    </sheetView>
  </sheetViews>
  <sheetFormatPr defaultColWidth="9" defaultRowHeight="25.05" customHeight="1" outlineLevelCol="1"/>
  <cols>
    <col min="1" max="1" width="13.5" style="76" hidden="1" customWidth="1" outlineLevel="1"/>
    <col min="2" max="2" width="11.5" style="76" hidden="1" customWidth="1" outlineLevel="1"/>
    <col min="3" max="3" width="29.296875" style="76" hidden="1" customWidth="1" outlineLevel="1"/>
    <col min="4" max="4" width="7.69921875" style="85" customWidth="1" collapsed="1"/>
    <col min="5" max="5" width="6.796875" customWidth="1"/>
    <col min="6" max="6" width="21.19921875" customWidth="1"/>
    <col min="7" max="7" width="28" bestFit="1" customWidth="1"/>
    <col min="8" max="8" width="12.59765625" style="74" bestFit="1" customWidth="1"/>
    <col min="9" max="9" width="11.69921875" customWidth="1"/>
    <col min="10" max="10" width="15.796875" customWidth="1"/>
    <col min="11" max="12" width="10.59765625" style="74" customWidth="1" outlineLevel="1"/>
    <col min="13" max="13" width="10.69921875" style="74" customWidth="1" outlineLevel="1"/>
    <col min="14" max="14" width="13.796875" style="74" bestFit="1" customWidth="1"/>
    <col min="15" max="17" width="10.59765625" style="74" customWidth="1"/>
    <col min="18" max="18" width="11.59765625" style="74" bestFit="1" customWidth="1"/>
    <col min="19" max="19" width="12.3984375" style="74" customWidth="1"/>
    <col min="20" max="20" width="14.09765625" style="74" customWidth="1"/>
    <col min="21" max="21" width="13.09765625" bestFit="1" customWidth="1"/>
    <col min="23" max="23" width="9.796875" bestFit="1" customWidth="1"/>
  </cols>
  <sheetData>
    <row r="1" spans="1:26" s="81" customFormat="1" ht="37.5" customHeight="1">
      <c r="A1" s="83"/>
      <c r="B1" s="83"/>
      <c r="C1" s="83"/>
      <c r="D1" s="205" t="s">
        <v>547</v>
      </c>
      <c r="E1" s="205"/>
      <c r="F1" s="286" t="s">
        <v>839</v>
      </c>
      <c r="G1" s="79"/>
      <c r="H1" s="78"/>
      <c r="I1" s="78"/>
      <c r="J1" s="78"/>
      <c r="K1" s="86"/>
      <c r="L1" s="86"/>
      <c r="M1" s="86"/>
      <c r="N1" s="86"/>
      <c r="O1" s="86"/>
      <c r="P1" s="79"/>
      <c r="Q1" s="79"/>
      <c r="R1" s="80"/>
      <c r="S1" s="79"/>
      <c r="T1" s="79"/>
    </row>
    <row r="2" spans="1:26" s="81" customFormat="1" ht="37.5" customHeight="1">
      <c r="A2" s="83"/>
      <c r="B2" s="83"/>
      <c r="C2" s="83"/>
      <c r="D2" s="205"/>
      <c r="E2" s="205" t="s">
        <v>1577</v>
      </c>
      <c r="F2" s="286"/>
      <c r="G2" s="79"/>
      <c r="H2" s="302" t="s">
        <v>1578</v>
      </c>
      <c r="I2" s="78"/>
      <c r="J2" s="78"/>
      <c r="K2" s="86"/>
      <c r="L2" s="86"/>
      <c r="M2" s="86"/>
      <c r="N2" s="86"/>
      <c r="O2" s="86"/>
      <c r="P2" s="79"/>
      <c r="Q2" s="79"/>
      <c r="R2" s="80"/>
      <c r="S2" s="79"/>
      <c r="T2" s="79"/>
    </row>
    <row r="3" spans="1:26" s="81" customFormat="1" ht="25.05" customHeight="1">
      <c r="A3" s="83"/>
      <c r="B3" s="83"/>
      <c r="C3" s="83"/>
      <c r="D3" s="76"/>
      <c r="E3" s="78"/>
      <c r="F3" s="78"/>
      <c r="G3" s="78"/>
      <c r="H3" s="304"/>
      <c r="I3" s="306"/>
      <c r="J3" s="300"/>
      <c r="K3" s="305"/>
      <c r="L3" s="297"/>
      <c r="M3" s="297"/>
      <c r="N3" s="297"/>
      <c r="O3" s="297"/>
      <c r="P3" s="298"/>
      <c r="Q3" s="298"/>
      <c r="R3" s="299"/>
      <c r="S3" s="298"/>
      <c r="T3" s="298"/>
    </row>
    <row r="4" spans="1:26" s="81" customFormat="1" ht="25.05" customHeight="1">
      <c r="A4" s="83"/>
      <c r="B4" s="83"/>
      <c r="C4" s="83"/>
      <c r="D4" s="76"/>
      <c r="E4" s="303" t="s">
        <v>1624</v>
      </c>
      <c r="F4" s="78"/>
      <c r="G4" s="78"/>
      <c r="H4" s="304"/>
      <c r="I4" s="306"/>
      <c r="J4" s="300"/>
      <c r="K4" s="305"/>
      <c r="L4" s="297"/>
      <c r="M4" s="297"/>
      <c r="N4" s="297"/>
      <c r="O4" s="297"/>
      <c r="P4" s="298"/>
      <c r="Q4" s="298"/>
      <c r="R4" s="299"/>
      <c r="S4" s="298"/>
      <c r="T4" s="298"/>
    </row>
    <row r="5" spans="1:26" s="81" customFormat="1" ht="25.05" customHeight="1">
      <c r="A5" s="83"/>
      <c r="B5" s="83"/>
      <c r="C5" s="83"/>
      <c r="D5" s="76"/>
      <c r="E5" s="78"/>
      <c r="F5" s="78"/>
      <c r="G5" s="78"/>
      <c r="H5" s="304"/>
      <c r="I5" s="306"/>
      <c r="J5" s="300"/>
      <c r="K5" s="305"/>
      <c r="L5" s="297"/>
      <c r="M5" s="297"/>
      <c r="N5" s="297"/>
      <c r="O5" s="297"/>
      <c r="P5" s="298"/>
      <c r="Q5" s="298"/>
      <c r="R5" s="299"/>
      <c r="S5" s="298"/>
      <c r="T5" s="298"/>
    </row>
    <row r="6" spans="1:26" s="81" customFormat="1" ht="7.05" customHeight="1">
      <c r="D6" s="84"/>
      <c r="E6" s="82"/>
      <c r="F6" s="82"/>
      <c r="G6" s="82"/>
      <c r="H6" s="82"/>
      <c r="I6" s="2"/>
      <c r="J6" s="2"/>
      <c r="K6" s="300"/>
      <c r="L6" s="300"/>
      <c r="M6" s="300"/>
      <c r="N6" s="300"/>
      <c r="O6" s="300"/>
      <c r="P6" s="2"/>
      <c r="Q6" s="2"/>
      <c r="R6" s="301"/>
      <c r="S6" s="2"/>
      <c r="T6" s="2"/>
    </row>
    <row r="7" spans="1:26" s="2" customFormat="1" ht="25.05" customHeight="1">
      <c r="A7" s="115"/>
      <c r="B7" s="115"/>
      <c r="C7" s="115"/>
      <c r="D7" s="197" t="s">
        <v>316</v>
      </c>
      <c r="E7" s="198" t="s">
        <v>6</v>
      </c>
      <c r="F7" s="197" t="s">
        <v>238</v>
      </c>
      <c r="G7" s="198" t="s">
        <v>202</v>
      </c>
      <c r="H7" s="199" t="s">
        <v>194</v>
      </c>
      <c r="I7" s="198" t="s">
        <v>204</v>
      </c>
      <c r="J7" s="321" t="s">
        <v>1525</v>
      </c>
      <c r="K7" s="323" t="s">
        <v>330</v>
      </c>
      <c r="L7" s="324"/>
      <c r="M7" s="324"/>
      <c r="N7" s="116" t="s">
        <v>332</v>
      </c>
      <c r="O7" s="203"/>
      <c r="P7" s="204" t="s">
        <v>356</v>
      </c>
      <c r="Q7" s="204"/>
      <c r="R7" s="117" t="s">
        <v>331</v>
      </c>
      <c r="S7" s="325" t="s">
        <v>218</v>
      </c>
      <c r="T7" s="325"/>
    </row>
    <row r="8" spans="1:26" s="2" customFormat="1" ht="25.05" customHeight="1">
      <c r="A8" s="285" t="s">
        <v>201</v>
      </c>
      <c r="B8" s="285" t="s">
        <v>194</v>
      </c>
      <c r="C8" s="285" t="s">
        <v>242</v>
      </c>
      <c r="D8" s="200"/>
      <c r="E8" s="191"/>
      <c r="F8" s="191"/>
      <c r="G8" s="191"/>
      <c r="H8" s="201"/>
      <c r="I8" s="191"/>
      <c r="J8" s="322"/>
      <c r="K8" s="202" t="s">
        <v>203</v>
      </c>
      <c r="L8" s="202" t="s">
        <v>220</v>
      </c>
      <c r="M8" s="234" t="s">
        <v>348</v>
      </c>
      <c r="N8" s="118" t="s">
        <v>523</v>
      </c>
      <c r="O8" s="235" t="s">
        <v>203</v>
      </c>
      <c r="P8" s="235" t="s">
        <v>220</v>
      </c>
      <c r="Q8" s="235" t="s">
        <v>348</v>
      </c>
      <c r="R8" s="119" t="s">
        <v>378</v>
      </c>
      <c r="S8" s="235" t="s">
        <v>219</v>
      </c>
      <c r="T8" s="235" t="s">
        <v>216</v>
      </c>
    </row>
    <row r="9" spans="1:26" s="2" customFormat="1" ht="25.05" customHeight="1">
      <c r="A9" s="115"/>
      <c r="B9" s="120"/>
      <c r="C9" s="120"/>
      <c r="D9" s="125" t="s">
        <v>1570</v>
      </c>
      <c r="E9" s="122" t="s">
        <v>229</v>
      </c>
      <c r="F9" s="210" t="s">
        <v>1573</v>
      </c>
      <c r="G9" s="210"/>
      <c r="H9" s="123"/>
      <c r="I9" s="169" t="s">
        <v>357</v>
      </c>
      <c r="J9" s="170" t="s">
        <v>1521</v>
      </c>
      <c r="K9" s="170">
        <v>170000</v>
      </c>
      <c r="L9" s="170">
        <v>300000</v>
      </c>
      <c r="M9" s="170"/>
      <c r="N9" s="171"/>
      <c r="O9" s="172"/>
      <c r="P9" s="172"/>
      <c r="Q9" s="172"/>
      <c r="R9" s="173"/>
      <c r="S9" s="174"/>
      <c r="T9" s="175"/>
      <c r="Z9" s="124"/>
    </row>
    <row r="10" spans="1:26" s="2" customFormat="1" ht="25.05" customHeight="1">
      <c r="A10" s="115"/>
      <c r="B10" s="120"/>
      <c r="C10" s="120"/>
      <c r="D10" s="125"/>
      <c r="E10" s="126"/>
      <c r="F10" s="211"/>
      <c r="G10" s="211" t="s">
        <v>1571</v>
      </c>
      <c r="H10" s="127"/>
      <c r="I10" s="176" t="s">
        <v>988</v>
      </c>
      <c r="J10" s="177" t="s">
        <v>1522</v>
      </c>
      <c r="K10" s="178">
        <v>150000</v>
      </c>
      <c r="L10" s="178">
        <v>220000</v>
      </c>
      <c r="M10" s="178"/>
      <c r="N10" s="179"/>
      <c r="O10" s="178"/>
      <c r="P10" s="178"/>
      <c r="Q10" s="178"/>
      <c r="R10" s="180"/>
      <c r="S10" s="177"/>
      <c r="T10" s="181"/>
      <c r="Z10" s="124"/>
    </row>
    <row r="11" spans="1:26" s="2" customFormat="1" ht="25.05" customHeight="1">
      <c r="A11" s="115"/>
      <c r="B11" s="120"/>
      <c r="C11" s="120"/>
      <c r="D11" s="125"/>
      <c r="E11" s="126"/>
      <c r="F11" s="211"/>
      <c r="G11" s="211" t="s">
        <v>1572</v>
      </c>
      <c r="H11" s="127"/>
      <c r="I11" s="176" t="s">
        <v>992</v>
      </c>
      <c r="J11" s="177" t="s">
        <v>1523</v>
      </c>
      <c r="K11" s="178">
        <v>120000</v>
      </c>
      <c r="L11" s="178">
        <v>180000</v>
      </c>
      <c r="M11" s="178"/>
      <c r="N11" s="179"/>
      <c r="O11" s="178"/>
      <c r="P11" s="178"/>
      <c r="Q11" s="178"/>
      <c r="R11" s="180"/>
      <c r="S11" s="177"/>
      <c r="T11" s="181"/>
      <c r="Z11" s="124"/>
    </row>
    <row r="12" spans="1:26" s="2" customFormat="1" ht="25.05" customHeight="1">
      <c r="A12" s="115"/>
      <c r="B12" s="120"/>
      <c r="C12" s="120"/>
      <c r="D12" s="125"/>
      <c r="E12" s="128"/>
      <c r="F12" s="212"/>
      <c r="G12" s="212"/>
      <c r="H12" s="129"/>
      <c r="I12" s="182" t="s">
        <v>990</v>
      </c>
      <c r="J12" s="183" t="s">
        <v>1524</v>
      </c>
      <c r="K12" s="184">
        <v>80000</v>
      </c>
      <c r="L12" s="184">
        <v>130000</v>
      </c>
      <c r="M12" s="184"/>
      <c r="N12" s="185"/>
      <c r="O12" s="184"/>
      <c r="P12" s="184"/>
      <c r="Q12" s="184"/>
      <c r="R12" s="186"/>
      <c r="S12" s="183"/>
      <c r="T12" s="187"/>
      <c r="Z12" s="124"/>
    </row>
    <row r="13" spans="1:26" s="2" customFormat="1" ht="25.05" customHeight="1">
      <c r="A13" s="115" t="s">
        <v>1543</v>
      </c>
      <c r="B13" s="120">
        <f>VLOOKUP($A13,출고가!$C:$E,3,FALSE)</f>
        <v>1485000</v>
      </c>
      <c r="C13" s="120" t="str">
        <f t="shared" ref="C13:C28" si="0">A13&amp;I13</f>
        <v>SM-F766NK베이직</v>
      </c>
      <c r="D13" s="125" t="s">
        <v>381</v>
      </c>
      <c r="E13" s="122" t="s">
        <v>229</v>
      </c>
      <c r="F13" s="210" t="str">
        <f>A13</f>
        <v>SM-F766NK</v>
      </c>
      <c r="G13" s="210" t="str">
        <f>VLOOKUP(F13,[1]출고가!C:D,2,0)</f>
        <v>갤럭시 Z Flip7</v>
      </c>
      <c r="H13" s="123">
        <f>B13</f>
        <v>1485000</v>
      </c>
      <c r="I13" s="169" t="s">
        <v>357</v>
      </c>
      <c r="J13" s="170" t="s">
        <v>1521</v>
      </c>
      <c r="K13" s="170">
        <v>580000</v>
      </c>
      <c r="L13" s="170">
        <v>580000</v>
      </c>
      <c r="M13" s="170">
        <v>580000</v>
      </c>
      <c r="N13" s="171">
        <f t="shared" ref="N13:N28" si="1">IF($N$8="0원",0,IF($N$8="5만",50000,IF($N$8="10만",100000,150000)))</f>
        <v>0</v>
      </c>
      <c r="O13" s="172">
        <f t="shared" ref="O13:O28" si="2">IF(K13-$N13&gt;0,K13-$N13,0)</f>
        <v>580000</v>
      </c>
      <c r="P13" s="172">
        <f t="shared" ref="P13:P28" si="3">IF(L13-$N13&gt;0,L13-$N13,0)</f>
        <v>580000</v>
      </c>
      <c r="Q13" s="172">
        <f t="shared" ref="Q13:Q28" si="4">IF(M13-$N13&gt;0,M13-$N13,0)</f>
        <v>580000</v>
      </c>
      <c r="R13" s="173">
        <f t="shared" ref="R13:R28" si="5">IF($R$8=$O$8,O13,IF($R$8=$P$8,P13,Q13))</f>
        <v>580000</v>
      </c>
      <c r="S13" s="174">
        <f t="shared" ref="S13:S28" si="6">IF(B13-R13&gt;0,B13-R13,0)</f>
        <v>905000</v>
      </c>
      <c r="T13" s="175">
        <f>ROUNDDOWN((S13/24*1.059)+(VLOOKUP(I13,구분자!$P:$Q,2,FALSE)*0.75),-3)</f>
        <v>99000</v>
      </c>
      <c r="Z13" s="124"/>
    </row>
    <row r="14" spans="1:26" s="2" customFormat="1" ht="25.05" customHeight="1">
      <c r="A14" s="115" t="s">
        <v>1544</v>
      </c>
      <c r="B14" s="120">
        <f>VLOOKUP($A14,출고가!$C:$E,3,FALSE)</f>
        <v>1485000</v>
      </c>
      <c r="C14" s="120" t="str">
        <f t="shared" si="0"/>
        <v>SM-F766NK심플30G</v>
      </c>
      <c r="D14" s="125"/>
      <c r="E14" s="126"/>
      <c r="F14" s="211"/>
      <c r="G14" s="211"/>
      <c r="H14" s="127"/>
      <c r="I14" s="176" t="s">
        <v>988</v>
      </c>
      <c r="J14" s="177" t="s">
        <v>1522</v>
      </c>
      <c r="K14" s="178">
        <v>530000</v>
      </c>
      <c r="L14" s="178">
        <v>530000</v>
      </c>
      <c r="M14" s="178">
        <v>530000</v>
      </c>
      <c r="N14" s="179">
        <f t="shared" si="1"/>
        <v>0</v>
      </c>
      <c r="O14" s="178">
        <f t="shared" si="2"/>
        <v>530000</v>
      </c>
      <c r="P14" s="178">
        <f t="shared" si="3"/>
        <v>530000</v>
      </c>
      <c r="Q14" s="178">
        <f t="shared" si="4"/>
        <v>530000</v>
      </c>
      <c r="R14" s="180">
        <f t="shared" si="5"/>
        <v>530000</v>
      </c>
      <c r="S14" s="177">
        <f t="shared" si="6"/>
        <v>955000</v>
      </c>
      <c r="T14" s="181">
        <f>ROUNDDOWN((S14/24*1.059)+(VLOOKUP(I14,구분자!$P:$Q,2,FALSE)*0.75),-3)</f>
        <v>87000</v>
      </c>
      <c r="Z14" s="124"/>
    </row>
    <row r="15" spans="1:26" s="2" customFormat="1" ht="25.05" customHeight="1">
      <c r="A15" s="115" t="s">
        <v>1544</v>
      </c>
      <c r="B15" s="120">
        <f>VLOOKUP($A15,출고가!$C:$E,3,FALSE)</f>
        <v>1485000</v>
      </c>
      <c r="C15" s="120" t="str">
        <f t="shared" si="0"/>
        <v>SM-F766NK슬림10G</v>
      </c>
      <c r="D15" s="125"/>
      <c r="E15" s="126"/>
      <c r="F15" s="211"/>
      <c r="G15" s="211"/>
      <c r="H15" s="127"/>
      <c r="I15" s="176" t="s">
        <v>992</v>
      </c>
      <c r="J15" s="177" t="s">
        <v>1523</v>
      </c>
      <c r="K15" s="178">
        <v>480000</v>
      </c>
      <c r="L15" s="178">
        <v>480000</v>
      </c>
      <c r="M15" s="178">
        <v>480000</v>
      </c>
      <c r="N15" s="179">
        <f t="shared" si="1"/>
        <v>0</v>
      </c>
      <c r="O15" s="178">
        <f t="shared" si="2"/>
        <v>480000</v>
      </c>
      <c r="P15" s="178">
        <f t="shared" si="3"/>
        <v>480000</v>
      </c>
      <c r="Q15" s="178">
        <f t="shared" si="4"/>
        <v>480000</v>
      </c>
      <c r="R15" s="180">
        <f t="shared" si="5"/>
        <v>480000</v>
      </c>
      <c r="S15" s="177">
        <f t="shared" si="6"/>
        <v>1005000</v>
      </c>
      <c r="T15" s="181">
        <f>ROUNDDOWN((S15/24*1.059)+(VLOOKUP(I15,구분자!$P:$Q,2,FALSE)*0.75),-3)</f>
        <v>81000</v>
      </c>
      <c r="Z15" s="124"/>
    </row>
    <row r="16" spans="1:26" s="2" customFormat="1" ht="25.05" customHeight="1">
      <c r="A16" s="115" t="s">
        <v>1543</v>
      </c>
      <c r="B16" s="120">
        <f>VLOOKUP($A16,출고가!$C:$E,3,FALSE)</f>
        <v>1485000</v>
      </c>
      <c r="C16" s="120" t="str">
        <f t="shared" si="0"/>
        <v>SM-F766NK슬림4G</v>
      </c>
      <c r="D16" s="125"/>
      <c r="E16" s="128"/>
      <c r="F16" s="212"/>
      <c r="G16" s="212"/>
      <c r="H16" s="129"/>
      <c r="I16" s="182" t="s">
        <v>990</v>
      </c>
      <c r="J16" s="183" t="s">
        <v>1524</v>
      </c>
      <c r="K16" s="184">
        <v>350000</v>
      </c>
      <c r="L16" s="184">
        <v>350000</v>
      </c>
      <c r="M16" s="184">
        <v>350000</v>
      </c>
      <c r="N16" s="185">
        <f t="shared" si="1"/>
        <v>0</v>
      </c>
      <c r="O16" s="184">
        <f t="shared" si="2"/>
        <v>350000</v>
      </c>
      <c r="P16" s="184">
        <f t="shared" si="3"/>
        <v>350000</v>
      </c>
      <c r="Q16" s="184">
        <f t="shared" si="4"/>
        <v>350000</v>
      </c>
      <c r="R16" s="186">
        <f t="shared" si="5"/>
        <v>350000</v>
      </c>
      <c r="S16" s="183">
        <f t="shared" si="6"/>
        <v>1135000</v>
      </c>
      <c r="T16" s="187">
        <f>ROUNDDOWN((S16/24*1.059)+(VLOOKUP(I16,구분자!$P:$Q,2,FALSE)*0.75),-3)</f>
        <v>77000</v>
      </c>
      <c r="Z16" s="124"/>
    </row>
    <row r="17" spans="1:26" s="2" customFormat="1" ht="25.05" customHeight="1">
      <c r="A17" s="115" t="s">
        <v>1545</v>
      </c>
      <c r="B17" s="120">
        <f>VLOOKUP($A17,출고가!$C:$E,3,FALSE)</f>
        <v>1643400</v>
      </c>
      <c r="C17" s="120" t="str">
        <f t="shared" si="0"/>
        <v>SM-F766NK512베이직</v>
      </c>
      <c r="D17" s="125"/>
      <c r="E17" s="122" t="s">
        <v>229</v>
      </c>
      <c r="F17" s="210" t="str">
        <f>A17</f>
        <v>SM-F766NK512</v>
      </c>
      <c r="G17" s="210" t="str">
        <f>VLOOKUP(F17,[1]출고가!C:D,2,0)</f>
        <v>갤럭시 Z Flip7 512GB</v>
      </c>
      <c r="H17" s="123">
        <f>B17</f>
        <v>1643400</v>
      </c>
      <c r="I17" s="169" t="s">
        <v>357</v>
      </c>
      <c r="J17" s="170" t="s">
        <v>1521</v>
      </c>
      <c r="K17" s="170">
        <v>580000</v>
      </c>
      <c r="L17" s="170">
        <v>580000</v>
      </c>
      <c r="M17" s="170">
        <v>580000</v>
      </c>
      <c r="N17" s="171">
        <f t="shared" si="1"/>
        <v>0</v>
      </c>
      <c r="O17" s="172">
        <f t="shared" si="2"/>
        <v>580000</v>
      </c>
      <c r="P17" s="172">
        <f t="shared" si="3"/>
        <v>580000</v>
      </c>
      <c r="Q17" s="172">
        <f t="shared" si="4"/>
        <v>580000</v>
      </c>
      <c r="R17" s="173">
        <f t="shared" si="5"/>
        <v>580000</v>
      </c>
      <c r="S17" s="174">
        <f t="shared" si="6"/>
        <v>1063400</v>
      </c>
      <c r="T17" s="175">
        <f>ROUNDDOWN((S17/24*1.059)+(VLOOKUP(I17,구분자!$P:$Q,2,FALSE)*0.75),-3)</f>
        <v>106000</v>
      </c>
      <c r="Z17" s="124"/>
    </row>
    <row r="18" spans="1:26" s="2" customFormat="1" ht="25.05" customHeight="1">
      <c r="A18" s="115" t="s">
        <v>1546</v>
      </c>
      <c r="B18" s="120">
        <f>VLOOKUP($A18,출고가!$C:$E,3,FALSE)</f>
        <v>1643400</v>
      </c>
      <c r="C18" s="120" t="str">
        <f t="shared" si="0"/>
        <v>SM-F766NK512심플30G</v>
      </c>
      <c r="D18" s="125"/>
      <c r="E18" s="126"/>
      <c r="F18" s="211"/>
      <c r="G18" s="211"/>
      <c r="H18" s="127"/>
      <c r="I18" s="176" t="s">
        <v>988</v>
      </c>
      <c r="J18" s="177" t="s">
        <v>1522</v>
      </c>
      <c r="K18" s="178">
        <v>530000</v>
      </c>
      <c r="L18" s="178">
        <v>530000</v>
      </c>
      <c r="M18" s="178">
        <v>530000</v>
      </c>
      <c r="N18" s="179">
        <f t="shared" si="1"/>
        <v>0</v>
      </c>
      <c r="O18" s="178">
        <f t="shared" si="2"/>
        <v>530000</v>
      </c>
      <c r="P18" s="178">
        <f t="shared" si="3"/>
        <v>530000</v>
      </c>
      <c r="Q18" s="178">
        <f t="shared" si="4"/>
        <v>530000</v>
      </c>
      <c r="R18" s="180">
        <f t="shared" si="5"/>
        <v>530000</v>
      </c>
      <c r="S18" s="177">
        <f t="shared" si="6"/>
        <v>1113400</v>
      </c>
      <c r="T18" s="181">
        <f>ROUNDDOWN((S18/24*1.059)+(VLOOKUP(I18,구분자!$P:$Q,2,FALSE)*0.75),-3)</f>
        <v>94000</v>
      </c>
      <c r="Z18" s="124"/>
    </row>
    <row r="19" spans="1:26" s="2" customFormat="1" ht="25.05" customHeight="1">
      <c r="A19" s="115" t="s">
        <v>1547</v>
      </c>
      <c r="B19" s="120">
        <f>VLOOKUP($A19,출고가!$C:$E,3,FALSE)</f>
        <v>1643400</v>
      </c>
      <c r="C19" s="120" t="str">
        <f t="shared" si="0"/>
        <v>SM-F766NK512슬림10G</v>
      </c>
      <c r="D19" s="125"/>
      <c r="E19" s="126"/>
      <c r="F19" s="211"/>
      <c r="G19" s="211" t="s">
        <v>1529</v>
      </c>
      <c r="H19" s="127"/>
      <c r="I19" s="176" t="s">
        <v>992</v>
      </c>
      <c r="J19" s="177" t="s">
        <v>1523</v>
      </c>
      <c r="K19" s="178">
        <v>480000</v>
      </c>
      <c r="L19" s="178">
        <v>480000</v>
      </c>
      <c r="M19" s="178">
        <v>480000</v>
      </c>
      <c r="N19" s="179">
        <f t="shared" si="1"/>
        <v>0</v>
      </c>
      <c r="O19" s="178">
        <f t="shared" si="2"/>
        <v>480000</v>
      </c>
      <c r="P19" s="178">
        <f t="shared" si="3"/>
        <v>480000</v>
      </c>
      <c r="Q19" s="178">
        <f t="shared" si="4"/>
        <v>480000</v>
      </c>
      <c r="R19" s="180">
        <f t="shared" si="5"/>
        <v>480000</v>
      </c>
      <c r="S19" s="177">
        <f t="shared" si="6"/>
        <v>1163400</v>
      </c>
      <c r="T19" s="181">
        <f>ROUNDDOWN((S19/24*1.059)+(VLOOKUP(I19,구분자!$P:$Q,2,FALSE)*0.75),-3)</f>
        <v>88000</v>
      </c>
      <c r="Z19" s="124"/>
    </row>
    <row r="20" spans="1:26" s="2" customFormat="1" ht="25.05" customHeight="1">
      <c r="A20" s="115" t="s">
        <v>1547</v>
      </c>
      <c r="B20" s="120">
        <f>VLOOKUP($A20,출고가!$C:$E,3,FALSE)</f>
        <v>1643400</v>
      </c>
      <c r="C20" s="120" t="str">
        <f t="shared" si="0"/>
        <v>SM-F766NK512슬림4G</v>
      </c>
      <c r="D20" s="125"/>
      <c r="E20" s="128"/>
      <c r="F20" s="212"/>
      <c r="G20" s="212"/>
      <c r="H20" s="129"/>
      <c r="I20" s="182" t="s">
        <v>990</v>
      </c>
      <c r="J20" s="183" t="s">
        <v>1524</v>
      </c>
      <c r="K20" s="184">
        <v>350000</v>
      </c>
      <c r="L20" s="184">
        <v>350000</v>
      </c>
      <c r="M20" s="184">
        <v>350000</v>
      </c>
      <c r="N20" s="185">
        <f t="shared" si="1"/>
        <v>0</v>
      </c>
      <c r="O20" s="184">
        <f t="shared" si="2"/>
        <v>350000</v>
      </c>
      <c r="P20" s="184">
        <f t="shared" si="3"/>
        <v>350000</v>
      </c>
      <c r="Q20" s="184">
        <f t="shared" si="4"/>
        <v>350000</v>
      </c>
      <c r="R20" s="186">
        <f t="shared" si="5"/>
        <v>350000</v>
      </c>
      <c r="S20" s="183">
        <f t="shared" si="6"/>
        <v>1293400</v>
      </c>
      <c r="T20" s="187">
        <f>ROUNDDOWN((S20/24*1.059)+(VLOOKUP(I20,구분자!$P:$Q,2,FALSE)*0.75),-3)</f>
        <v>84000</v>
      </c>
      <c r="Z20" s="124"/>
    </row>
    <row r="21" spans="1:26" s="2" customFormat="1" ht="25.05" customHeight="1">
      <c r="A21" s="115" t="s">
        <v>1549</v>
      </c>
      <c r="B21" s="120">
        <f>VLOOKUP($A21,출고가!$C:$E,3,FALSE)</f>
        <v>2379300</v>
      </c>
      <c r="C21" s="120" t="str">
        <f t="shared" si="0"/>
        <v>SM-F966NK베이직</v>
      </c>
      <c r="D21" s="125"/>
      <c r="E21" s="122" t="s">
        <v>1550</v>
      </c>
      <c r="F21" s="210" t="str">
        <f>A21</f>
        <v>SM-F966NK</v>
      </c>
      <c r="G21" s="210" t="str">
        <f>VLOOKUP(F21,[1]출고가!C:D,2,0)</f>
        <v>갤럭시 Z Fold7</v>
      </c>
      <c r="H21" s="123">
        <f>B21</f>
        <v>2379300</v>
      </c>
      <c r="I21" s="169" t="s">
        <v>357</v>
      </c>
      <c r="J21" s="170" t="s">
        <v>1521</v>
      </c>
      <c r="K21" s="170">
        <v>580000</v>
      </c>
      <c r="L21" s="170">
        <v>580000</v>
      </c>
      <c r="M21" s="170">
        <v>580000</v>
      </c>
      <c r="N21" s="171">
        <f t="shared" si="1"/>
        <v>0</v>
      </c>
      <c r="O21" s="172">
        <f t="shared" si="2"/>
        <v>580000</v>
      </c>
      <c r="P21" s="172">
        <f t="shared" si="3"/>
        <v>580000</v>
      </c>
      <c r="Q21" s="172">
        <f t="shared" si="4"/>
        <v>580000</v>
      </c>
      <c r="R21" s="173">
        <f t="shared" si="5"/>
        <v>580000</v>
      </c>
      <c r="S21" s="174">
        <f t="shared" si="6"/>
        <v>1799300</v>
      </c>
      <c r="T21" s="175">
        <f>ROUNDDOWN((S21/24*1.059)+(VLOOKUP(I21,구분자!$P:$Q,2,FALSE)*0.75),-3)</f>
        <v>139000</v>
      </c>
      <c r="Z21" s="124"/>
    </row>
    <row r="22" spans="1:26" s="2" customFormat="1" ht="25.05" customHeight="1">
      <c r="A22" s="115" t="s">
        <v>1549</v>
      </c>
      <c r="B22" s="120">
        <f>VLOOKUP($A22,출고가!$C:$E,3,FALSE)</f>
        <v>2379300</v>
      </c>
      <c r="C22" s="120" t="str">
        <f t="shared" si="0"/>
        <v>SM-F966NK심플30G</v>
      </c>
      <c r="D22" s="125"/>
      <c r="E22" s="126"/>
      <c r="F22" s="211"/>
      <c r="G22" s="211"/>
      <c r="H22" s="127"/>
      <c r="I22" s="176" t="s">
        <v>988</v>
      </c>
      <c r="J22" s="177" t="s">
        <v>1522</v>
      </c>
      <c r="K22" s="178">
        <v>530000</v>
      </c>
      <c r="L22" s="178">
        <v>530000</v>
      </c>
      <c r="M22" s="178">
        <v>530000</v>
      </c>
      <c r="N22" s="179">
        <f t="shared" si="1"/>
        <v>0</v>
      </c>
      <c r="O22" s="178">
        <f t="shared" si="2"/>
        <v>530000</v>
      </c>
      <c r="P22" s="178">
        <f t="shared" si="3"/>
        <v>530000</v>
      </c>
      <c r="Q22" s="178">
        <f t="shared" si="4"/>
        <v>530000</v>
      </c>
      <c r="R22" s="180">
        <f t="shared" si="5"/>
        <v>530000</v>
      </c>
      <c r="S22" s="177">
        <f t="shared" si="6"/>
        <v>1849300</v>
      </c>
      <c r="T22" s="181">
        <f>ROUNDDOWN((S22/24*1.059)+(VLOOKUP(I22,구분자!$P:$Q,2,FALSE)*0.75),-3)</f>
        <v>127000</v>
      </c>
      <c r="Z22" s="124"/>
    </row>
    <row r="23" spans="1:26" s="2" customFormat="1" ht="25.05" customHeight="1">
      <c r="A23" s="115" t="s">
        <v>1551</v>
      </c>
      <c r="B23" s="120">
        <f>VLOOKUP($A23,출고가!$C:$E,3,FALSE)</f>
        <v>2379300</v>
      </c>
      <c r="C23" s="120" t="str">
        <f t="shared" si="0"/>
        <v>SM-F966NK슬림10G</v>
      </c>
      <c r="D23" s="125"/>
      <c r="E23" s="126"/>
      <c r="F23" s="211"/>
      <c r="G23" s="211"/>
      <c r="H23" s="127"/>
      <c r="I23" s="176" t="s">
        <v>992</v>
      </c>
      <c r="J23" s="177" t="s">
        <v>1523</v>
      </c>
      <c r="K23" s="178">
        <v>480000</v>
      </c>
      <c r="L23" s="178">
        <v>480000</v>
      </c>
      <c r="M23" s="178">
        <v>480000</v>
      </c>
      <c r="N23" s="179">
        <f t="shared" si="1"/>
        <v>0</v>
      </c>
      <c r="O23" s="178">
        <f t="shared" si="2"/>
        <v>480000</v>
      </c>
      <c r="P23" s="178">
        <f t="shared" si="3"/>
        <v>480000</v>
      </c>
      <c r="Q23" s="178">
        <f t="shared" si="4"/>
        <v>480000</v>
      </c>
      <c r="R23" s="180">
        <f t="shared" si="5"/>
        <v>480000</v>
      </c>
      <c r="S23" s="177">
        <f t="shared" si="6"/>
        <v>1899300</v>
      </c>
      <c r="T23" s="181">
        <f>ROUNDDOWN((S23/24*1.059)+(VLOOKUP(I23,구분자!$P:$Q,2,FALSE)*0.75),-3)</f>
        <v>121000</v>
      </c>
      <c r="Z23" s="124"/>
    </row>
    <row r="24" spans="1:26" s="2" customFormat="1" ht="25.05" customHeight="1">
      <c r="A24" s="115" t="s">
        <v>1549</v>
      </c>
      <c r="B24" s="120">
        <f>VLOOKUP($A24,출고가!$C:$E,3,FALSE)</f>
        <v>2379300</v>
      </c>
      <c r="C24" s="120" t="str">
        <f t="shared" si="0"/>
        <v>SM-F966NK슬림4G</v>
      </c>
      <c r="D24" s="125"/>
      <c r="E24" s="128"/>
      <c r="F24" s="212"/>
      <c r="G24" s="212"/>
      <c r="H24" s="129"/>
      <c r="I24" s="182" t="s">
        <v>990</v>
      </c>
      <c r="J24" s="183" t="s">
        <v>1524</v>
      </c>
      <c r="K24" s="184">
        <v>350000</v>
      </c>
      <c r="L24" s="184">
        <v>350000</v>
      </c>
      <c r="M24" s="184">
        <v>350000</v>
      </c>
      <c r="N24" s="185">
        <f t="shared" si="1"/>
        <v>0</v>
      </c>
      <c r="O24" s="184">
        <f t="shared" si="2"/>
        <v>350000</v>
      </c>
      <c r="P24" s="184">
        <f t="shared" si="3"/>
        <v>350000</v>
      </c>
      <c r="Q24" s="184">
        <f t="shared" si="4"/>
        <v>350000</v>
      </c>
      <c r="R24" s="186">
        <f t="shared" si="5"/>
        <v>350000</v>
      </c>
      <c r="S24" s="183">
        <f t="shared" si="6"/>
        <v>2029300</v>
      </c>
      <c r="T24" s="187">
        <f>ROUNDDOWN((S24/24*1.059)+(VLOOKUP(I24,구분자!$P:$Q,2,FALSE)*0.75),-3)</f>
        <v>117000</v>
      </c>
      <c r="Z24" s="124"/>
    </row>
    <row r="25" spans="1:26" s="2" customFormat="1" ht="25.05" customHeight="1">
      <c r="A25" s="115" t="s">
        <v>1553</v>
      </c>
      <c r="B25" s="120">
        <f>VLOOKUP($A25,출고가!$C:$E,3,FALSE)</f>
        <v>2537700</v>
      </c>
      <c r="C25" s="120" t="str">
        <f t="shared" si="0"/>
        <v>SM-F966NK512베이직</v>
      </c>
      <c r="D25" s="125"/>
      <c r="E25" s="122" t="s">
        <v>1554</v>
      </c>
      <c r="F25" s="210" t="str">
        <f>A25</f>
        <v>SM-F966NK512</v>
      </c>
      <c r="G25" s="210" t="str">
        <f>VLOOKUP(F25,[1]출고가!C:D,2,0)</f>
        <v>갤럭시 Z Fold7 512GB</v>
      </c>
      <c r="H25" s="123">
        <f>B25</f>
        <v>2537700</v>
      </c>
      <c r="I25" s="169" t="s">
        <v>357</v>
      </c>
      <c r="J25" s="170" t="s">
        <v>1521</v>
      </c>
      <c r="K25" s="170">
        <v>580000</v>
      </c>
      <c r="L25" s="170">
        <v>580000</v>
      </c>
      <c r="M25" s="170">
        <v>580000</v>
      </c>
      <c r="N25" s="171">
        <f t="shared" si="1"/>
        <v>0</v>
      </c>
      <c r="O25" s="172">
        <f t="shared" si="2"/>
        <v>580000</v>
      </c>
      <c r="P25" s="172">
        <f t="shared" si="3"/>
        <v>580000</v>
      </c>
      <c r="Q25" s="172">
        <f t="shared" si="4"/>
        <v>580000</v>
      </c>
      <c r="R25" s="173">
        <f t="shared" si="5"/>
        <v>580000</v>
      </c>
      <c r="S25" s="174">
        <f t="shared" si="6"/>
        <v>1957700</v>
      </c>
      <c r="T25" s="175">
        <f>ROUNDDOWN((S25/24*1.059)+(VLOOKUP(I25,구분자!$P:$Q,2,FALSE)*0.75),-3)</f>
        <v>146000</v>
      </c>
      <c r="Z25" s="124"/>
    </row>
    <row r="26" spans="1:26" s="2" customFormat="1" ht="25.05" customHeight="1">
      <c r="A26" s="115" t="s">
        <v>1553</v>
      </c>
      <c r="B26" s="120">
        <f>VLOOKUP($A26,출고가!$C:$E,3,FALSE)</f>
        <v>2537700</v>
      </c>
      <c r="C26" s="120" t="str">
        <f t="shared" si="0"/>
        <v>SM-F966NK512심플30G</v>
      </c>
      <c r="D26" s="125"/>
      <c r="E26" s="126"/>
      <c r="F26" s="211"/>
      <c r="G26" s="211"/>
      <c r="H26" s="127"/>
      <c r="I26" s="176" t="s">
        <v>988</v>
      </c>
      <c r="J26" s="177" t="s">
        <v>1522</v>
      </c>
      <c r="K26" s="178">
        <v>530000</v>
      </c>
      <c r="L26" s="178">
        <v>530000</v>
      </c>
      <c r="M26" s="178">
        <v>530000</v>
      </c>
      <c r="N26" s="179">
        <f t="shared" si="1"/>
        <v>0</v>
      </c>
      <c r="O26" s="178">
        <f t="shared" si="2"/>
        <v>530000</v>
      </c>
      <c r="P26" s="178">
        <f t="shared" si="3"/>
        <v>530000</v>
      </c>
      <c r="Q26" s="178">
        <f t="shared" si="4"/>
        <v>530000</v>
      </c>
      <c r="R26" s="180">
        <f t="shared" si="5"/>
        <v>530000</v>
      </c>
      <c r="S26" s="177">
        <f t="shared" si="6"/>
        <v>2007700</v>
      </c>
      <c r="T26" s="181">
        <f>ROUNDDOWN((S26/24*1.059)+(VLOOKUP(I26,구분자!$P:$Q,2,FALSE)*0.75),-3)</f>
        <v>134000</v>
      </c>
      <c r="Z26" s="124"/>
    </row>
    <row r="27" spans="1:26" s="2" customFormat="1" ht="25.05" customHeight="1">
      <c r="A27" s="115" t="s">
        <v>1555</v>
      </c>
      <c r="B27" s="120">
        <f>VLOOKUP($A27,출고가!$C:$E,3,FALSE)</f>
        <v>2537700</v>
      </c>
      <c r="C27" s="120" t="str">
        <f t="shared" si="0"/>
        <v>SM-F966NK512슬림10G</v>
      </c>
      <c r="D27" s="125"/>
      <c r="E27" s="126"/>
      <c r="F27" s="211"/>
      <c r="G27" s="211" t="s">
        <v>1529</v>
      </c>
      <c r="H27" s="127"/>
      <c r="I27" s="176" t="s">
        <v>992</v>
      </c>
      <c r="J27" s="177" t="s">
        <v>1523</v>
      </c>
      <c r="K27" s="178">
        <v>480000</v>
      </c>
      <c r="L27" s="178">
        <v>480000</v>
      </c>
      <c r="M27" s="178">
        <v>480000</v>
      </c>
      <c r="N27" s="179">
        <f t="shared" si="1"/>
        <v>0</v>
      </c>
      <c r="O27" s="178">
        <f t="shared" si="2"/>
        <v>480000</v>
      </c>
      <c r="P27" s="178">
        <f t="shared" si="3"/>
        <v>480000</v>
      </c>
      <c r="Q27" s="178">
        <f t="shared" si="4"/>
        <v>480000</v>
      </c>
      <c r="R27" s="180">
        <f t="shared" si="5"/>
        <v>480000</v>
      </c>
      <c r="S27" s="177">
        <f t="shared" si="6"/>
        <v>2057700</v>
      </c>
      <c r="T27" s="181">
        <f>ROUNDDOWN((S27/24*1.059)+(VLOOKUP(I27,구분자!$P:$Q,2,FALSE)*0.75),-3)</f>
        <v>128000</v>
      </c>
      <c r="Z27" s="124"/>
    </row>
    <row r="28" spans="1:26" s="2" customFormat="1" ht="25.05" customHeight="1">
      <c r="A28" s="115" t="s">
        <v>1556</v>
      </c>
      <c r="B28" s="120">
        <f>VLOOKUP($A28,출고가!$C:$E,3,FALSE)</f>
        <v>2537700</v>
      </c>
      <c r="C28" s="120" t="str">
        <f t="shared" si="0"/>
        <v>SM-F966NK512슬림4G</v>
      </c>
      <c r="D28" s="125"/>
      <c r="E28" s="128"/>
      <c r="F28" s="212"/>
      <c r="G28" s="212"/>
      <c r="H28" s="129"/>
      <c r="I28" s="182" t="s">
        <v>990</v>
      </c>
      <c r="J28" s="183" t="s">
        <v>1524</v>
      </c>
      <c r="K28" s="184">
        <v>350000</v>
      </c>
      <c r="L28" s="184">
        <v>350000</v>
      </c>
      <c r="M28" s="184">
        <v>350000</v>
      </c>
      <c r="N28" s="185">
        <f t="shared" si="1"/>
        <v>0</v>
      </c>
      <c r="O28" s="184">
        <f t="shared" si="2"/>
        <v>350000</v>
      </c>
      <c r="P28" s="184">
        <f t="shared" si="3"/>
        <v>350000</v>
      </c>
      <c r="Q28" s="184">
        <f t="shared" si="4"/>
        <v>350000</v>
      </c>
      <c r="R28" s="186">
        <f t="shared" si="5"/>
        <v>350000</v>
      </c>
      <c r="S28" s="183">
        <f t="shared" si="6"/>
        <v>2187700</v>
      </c>
      <c r="T28" s="187">
        <f>ROUNDDOWN((S28/24*1.059)+(VLOOKUP(I28,구분자!$P:$Q,2,FALSE)*0.75),-3)</f>
        <v>124000</v>
      </c>
      <c r="Z28" s="124"/>
    </row>
    <row r="29" spans="1:26" s="2" customFormat="1" ht="25.05" customHeight="1">
      <c r="A29" s="115" t="s">
        <v>1531</v>
      </c>
      <c r="B29" s="120">
        <f>VLOOKUP($A29,출고가!$C:$E,3,FALSE)</f>
        <v>1496000</v>
      </c>
      <c r="C29" s="120" t="str">
        <f t="shared" ref="C29:C32" si="7">A29&amp;I29</f>
        <v>SM-S937NK베이직</v>
      </c>
      <c r="D29" s="125"/>
      <c r="E29" s="122" t="s">
        <v>229</v>
      </c>
      <c r="F29" s="210" t="str">
        <f>A29</f>
        <v>SM-S937NK</v>
      </c>
      <c r="G29" s="210" t="str">
        <f>VLOOKUP(F29,출고가!C:D,2,0)</f>
        <v>갤럭시S25 엣지 (256GB)</v>
      </c>
      <c r="H29" s="123">
        <f>B29</f>
        <v>1496000</v>
      </c>
      <c r="I29" s="169" t="s">
        <v>357</v>
      </c>
      <c r="J29" s="170" t="s">
        <v>1521</v>
      </c>
      <c r="K29" s="170">
        <v>580000</v>
      </c>
      <c r="L29" s="170">
        <v>580000</v>
      </c>
      <c r="M29" s="170">
        <v>580000</v>
      </c>
      <c r="N29" s="171">
        <f t="shared" ref="N29:N56" si="8">IF($N$8="0원",0,IF($N$8="5만",50000,IF($N$8="10만",100000,150000)))</f>
        <v>0</v>
      </c>
      <c r="O29" s="172">
        <f t="shared" ref="O29:O31" si="9">IF(K29-$N29&gt;0,K29-$N29,0)</f>
        <v>580000</v>
      </c>
      <c r="P29" s="172">
        <f t="shared" ref="P29:P31" si="10">IF(L29-$N29&gt;0,L29-$N29,0)</f>
        <v>580000</v>
      </c>
      <c r="Q29" s="172">
        <f t="shared" ref="Q29:Q31" si="11">IF(M29-$N29&gt;0,M29-$N29,0)</f>
        <v>580000</v>
      </c>
      <c r="R29" s="173">
        <f t="shared" ref="R29:R32" si="12">IF($R$8=$O$8,O29,IF($R$8=$P$8,P29,Q29))</f>
        <v>580000</v>
      </c>
      <c r="S29" s="174">
        <f t="shared" ref="S29:S32" si="13">IF(B29-R29&gt;0,B29-R29,0)</f>
        <v>916000</v>
      </c>
      <c r="T29" s="175">
        <f>ROUNDDOWN((S29/24*1.059)+(VLOOKUP(I29,구분자!$P:$Q,2,FALSE)*0.75),-3)</f>
        <v>100000</v>
      </c>
    </row>
    <row r="30" spans="1:26" s="2" customFormat="1" ht="25.05" customHeight="1">
      <c r="A30" s="115" t="s">
        <v>1530</v>
      </c>
      <c r="B30" s="120">
        <f>VLOOKUP($A30,출고가!$C:$E,3,FALSE)</f>
        <v>1496000</v>
      </c>
      <c r="C30" s="120" t="str">
        <f t="shared" si="7"/>
        <v>SM-S937NK심플30G</v>
      </c>
      <c r="D30" s="125"/>
      <c r="E30" s="126"/>
      <c r="F30" s="211"/>
      <c r="G30" s="211"/>
      <c r="H30" s="127"/>
      <c r="I30" s="176" t="s">
        <v>988</v>
      </c>
      <c r="J30" s="177" t="s">
        <v>1522</v>
      </c>
      <c r="K30" s="178">
        <v>530000</v>
      </c>
      <c r="L30" s="178">
        <v>530000</v>
      </c>
      <c r="M30" s="178">
        <v>530000</v>
      </c>
      <c r="N30" s="179">
        <f t="shared" si="8"/>
        <v>0</v>
      </c>
      <c r="O30" s="178">
        <f t="shared" si="9"/>
        <v>530000</v>
      </c>
      <c r="P30" s="178">
        <f t="shared" si="10"/>
        <v>530000</v>
      </c>
      <c r="Q30" s="178">
        <f t="shared" si="11"/>
        <v>530000</v>
      </c>
      <c r="R30" s="180">
        <f t="shared" si="12"/>
        <v>530000</v>
      </c>
      <c r="S30" s="177">
        <f t="shared" si="13"/>
        <v>966000</v>
      </c>
      <c r="T30" s="181">
        <f>ROUNDDOWN((S30/24*1.059)+(VLOOKUP(I30,구분자!$P:$Q,2,FALSE)*0.75),-3)</f>
        <v>88000</v>
      </c>
      <c r="W30" s="124"/>
    </row>
    <row r="31" spans="1:26" s="2" customFormat="1" ht="25.05" customHeight="1">
      <c r="A31" s="115" t="s">
        <v>1530</v>
      </c>
      <c r="B31" s="120">
        <f>VLOOKUP($A31,출고가!$C:$E,3,FALSE)</f>
        <v>1496000</v>
      </c>
      <c r="C31" s="120" t="str">
        <f t="shared" si="7"/>
        <v>SM-S937NK슬림10G</v>
      </c>
      <c r="D31" s="125"/>
      <c r="E31" s="126"/>
      <c r="F31" s="211"/>
      <c r="G31" s="211"/>
      <c r="H31" s="127"/>
      <c r="I31" s="176" t="s">
        <v>992</v>
      </c>
      <c r="J31" s="177" t="s">
        <v>1523</v>
      </c>
      <c r="K31" s="178">
        <v>480000</v>
      </c>
      <c r="L31" s="178">
        <v>480000</v>
      </c>
      <c r="M31" s="178">
        <v>480000</v>
      </c>
      <c r="N31" s="179">
        <f t="shared" si="8"/>
        <v>0</v>
      </c>
      <c r="O31" s="178">
        <f t="shared" si="9"/>
        <v>480000</v>
      </c>
      <c r="P31" s="178">
        <f t="shared" si="10"/>
        <v>480000</v>
      </c>
      <c r="Q31" s="178">
        <f t="shared" si="11"/>
        <v>480000</v>
      </c>
      <c r="R31" s="180">
        <f t="shared" si="12"/>
        <v>480000</v>
      </c>
      <c r="S31" s="177">
        <f t="shared" si="13"/>
        <v>1016000</v>
      </c>
      <c r="T31" s="181">
        <f>ROUNDDOWN((S31/24*1.059)+(VLOOKUP(I31,구분자!$P:$Q,2,FALSE)*0.75),-3)</f>
        <v>82000</v>
      </c>
      <c r="W31" s="124"/>
    </row>
    <row r="32" spans="1:26" s="2" customFormat="1" ht="25.05" customHeight="1">
      <c r="A32" s="115" t="s">
        <v>1530</v>
      </c>
      <c r="B32" s="120">
        <f>VLOOKUP($A32,출고가!$C:$E,3,FALSE)</f>
        <v>1496000</v>
      </c>
      <c r="C32" s="120" t="str">
        <f t="shared" si="7"/>
        <v>SM-S937NK슬림4G</v>
      </c>
      <c r="D32" s="125"/>
      <c r="E32" s="128"/>
      <c r="F32" s="212"/>
      <c r="G32" s="212"/>
      <c r="H32" s="129"/>
      <c r="I32" s="182" t="s">
        <v>990</v>
      </c>
      <c r="J32" s="183" t="s">
        <v>1524</v>
      </c>
      <c r="K32" s="184">
        <v>350000</v>
      </c>
      <c r="L32" s="184">
        <v>350000</v>
      </c>
      <c r="M32" s="184">
        <v>350000</v>
      </c>
      <c r="N32" s="185">
        <f t="shared" si="8"/>
        <v>0</v>
      </c>
      <c r="O32" s="184">
        <f>IF(K32-$N32&gt;0,K32-$N32,0)</f>
        <v>350000</v>
      </c>
      <c r="P32" s="184">
        <f>IF(L32-$N32&gt;0,L32-$N32,0)</f>
        <v>350000</v>
      </c>
      <c r="Q32" s="184">
        <f>IF(M32-$N32&gt;0,M32-$N32,0)</f>
        <v>350000</v>
      </c>
      <c r="R32" s="186">
        <f t="shared" si="12"/>
        <v>350000</v>
      </c>
      <c r="S32" s="183">
        <f t="shared" si="13"/>
        <v>1146000</v>
      </c>
      <c r="T32" s="187">
        <f>ROUNDDOWN((S32/24*1.059)+(VLOOKUP(I32,구분자!$P:$Q,2,FALSE)*0.75),-3)</f>
        <v>78000</v>
      </c>
      <c r="W32" s="124"/>
    </row>
    <row r="33" spans="1:23" s="2" customFormat="1" ht="25.05" customHeight="1">
      <c r="A33" s="115" t="s">
        <v>1486</v>
      </c>
      <c r="B33" s="120">
        <f>VLOOKUP($A33,출고가!$C:$E,3,FALSE)</f>
        <v>1155000</v>
      </c>
      <c r="C33" s="120" t="str">
        <f t="shared" ref="C33:C44" si="14">A33&amp;I33</f>
        <v>SM-S931NK베이직</v>
      </c>
      <c r="D33" s="125"/>
      <c r="E33" s="122" t="s">
        <v>229</v>
      </c>
      <c r="F33" s="210" t="str">
        <f>A33</f>
        <v>SM-S931NK</v>
      </c>
      <c r="G33" s="210" t="str">
        <f>VLOOKUP(F33,출고가!C:D,2,0)</f>
        <v>갤럭시S25 (256GB)</v>
      </c>
      <c r="H33" s="123">
        <f>B33</f>
        <v>1155000</v>
      </c>
      <c r="I33" s="169" t="s">
        <v>357</v>
      </c>
      <c r="J33" s="170" t="s">
        <v>1521</v>
      </c>
      <c r="K33" s="170">
        <v>580000</v>
      </c>
      <c r="L33" s="170">
        <v>580000</v>
      </c>
      <c r="M33" s="170">
        <v>580000</v>
      </c>
      <c r="N33" s="171">
        <f t="shared" si="8"/>
        <v>0</v>
      </c>
      <c r="O33" s="172">
        <f t="shared" ref="O33:O35" si="15">IF(K33-$N33&gt;0,K33-$N33,0)</f>
        <v>580000</v>
      </c>
      <c r="P33" s="172">
        <f t="shared" ref="P33:P35" si="16">IF(L33-$N33&gt;0,L33-$N33,0)</f>
        <v>580000</v>
      </c>
      <c r="Q33" s="172">
        <f t="shared" ref="Q33:Q35" si="17">IF(M33-$N33&gt;0,M33-$N33,0)</f>
        <v>580000</v>
      </c>
      <c r="R33" s="173">
        <f t="shared" ref="R33:R44" si="18">IF($R$8=$O$8,O33,IF($R$8=$P$8,P33,Q33))</f>
        <v>580000</v>
      </c>
      <c r="S33" s="174">
        <f t="shared" ref="S33:S48" si="19">IF(B33-R33&gt;0,B33-R33,0)</f>
        <v>575000</v>
      </c>
      <c r="T33" s="175">
        <f>ROUNDDOWN((S33/24*1.059)+(VLOOKUP(I33,구분자!$P:$Q,2,FALSE)*0.75),-3)</f>
        <v>85000</v>
      </c>
      <c r="W33" s="124"/>
    </row>
    <row r="34" spans="1:23" s="2" customFormat="1" ht="25.05" customHeight="1">
      <c r="A34" s="115" t="s">
        <v>1485</v>
      </c>
      <c r="B34" s="120">
        <f>VLOOKUP($A34,출고가!$C:$E,3,FALSE)</f>
        <v>1155000</v>
      </c>
      <c r="C34" s="120" t="str">
        <f t="shared" si="14"/>
        <v>SM-S931NK심플30G</v>
      </c>
      <c r="D34" s="125"/>
      <c r="E34" s="126"/>
      <c r="F34" s="211"/>
      <c r="G34" s="211"/>
      <c r="H34" s="127"/>
      <c r="I34" s="176" t="s">
        <v>988</v>
      </c>
      <c r="J34" s="177" t="s">
        <v>1522</v>
      </c>
      <c r="K34" s="178">
        <v>530000</v>
      </c>
      <c r="L34" s="178">
        <v>530000</v>
      </c>
      <c r="M34" s="178">
        <v>530000</v>
      </c>
      <c r="N34" s="179">
        <f t="shared" si="8"/>
        <v>0</v>
      </c>
      <c r="O34" s="178">
        <f t="shared" si="15"/>
        <v>530000</v>
      </c>
      <c r="P34" s="178">
        <f t="shared" si="16"/>
        <v>530000</v>
      </c>
      <c r="Q34" s="178">
        <f t="shared" si="17"/>
        <v>530000</v>
      </c>
      <c r="R34" s="180">
        <f t="shared" si="18"/>
        <v>530000</v>
      </c>
      <c r="S34" s="177">
        <f t="shared" si="19"/>
        <v>625000</v>
      </c>
      <c r="T34" s="181">
        <f>ROUNDDOWN((S34/24*1.059)+(VLOOKUP(I34,구분자!$P:$Q,2,FALSE)*0.75),-3)</f>
        <v>73000</v>
      </c>
      <c r="W34" s="124"/>
    </row>
    <row r="35" spans="1:23" s="2" customFormat="1" ht="25.05" customHeight="1">
      <c r="A35" s="115" t="s">
        <v>1485</v>
      </c>
      <c r="B35" s="120">
        <f>VLOOKUP($A35,출고가!$C:$E,3,FALSE)</f>
        <v>1155000</v>
      </c>
      <c r="C35" s="120" t="str">
        <f t="shared" si="14"/>
        <v>SM-S931NK슬림10G</v>
      </c>
      <c r="D35" s="125"/>
      <c r="E35" s="126"/>
      <c r="F35" s="211"/>
      <c r="G35" s="211"/>
      <c r="H35" s="127"/>
      <c r="I35" s="176" t="s">
        <v>992</v>
      </c>
      <c r="J35" s="177" t="s">
        <v>1523</v>
      </c>
      <c r="K35" s="178">
        <v>480000</v>
      </c>
      <c r="L35" s="178">
        <v>480000</v>
      </c>
      <c r="M35" s="178">
        <v>480000</v>
      </c>
      <c r="N35" s="179">
        <f t="shared" si="8"/>
        <v>0</v>
      </c>
      <c r="O35" s="178">
        <f t="shared" si="15"/>
        <v>480000</v>
      </c>
      <c r="P35" s="178">
        <f t="shared" si="16"/>
        <v>480000</v>
      </c>
      <c r="Q35" s="178">
        <f t="shared" si="17"/>
        <v>480000</v>
      </c>
      <c r="R35" s="180">
        <f t="shared" si="18"/>
        <v>480000</v>
      </c>
      <c r="S35" s="177">
        <f t="shared" si="19"/>
        <v>675000</v>
      </c>
      <c r="T35" s="181">
        <f>ROUNDDOWN((S35/24*1.059)+(VLOOKUP(I35,구분자!$P:$Q,2,FALSE)*0.75),-3)</f>
        <v>67000</v>
      </c>
      <c r="W35" s="124"/>
    </row>
    <row r="36" spans="1:23" s="2" customFormat="1" ht="25.05" customHeight="1">
      <c r="A36" s="115" t="s">
        <v>1485</v>
      </c>
      <c r="B36" s="120">
        <f>VLOOKUP($A36,출고가!$C:$E,3,FALSE)</f>
        <v>1155000</v>
      </c>
      <c r="C36" s="120" t="str">
        <f t="shared" si="14"/>
        <v>SM-S931NK슬림4G</v>
      </c>
      <c r="D36" s="125"/>
      <c r="E36" s="128"/>
      <c r="F36" s="212"/>
      <c r="G36" s="212"/>
      <c r="H36" s="129"/>
      <c r="I36" s="182" t="s">
        <v>990</v>
      </c>
      <c r="J36" s="183" t="s">
        <v>1524</v>
      </c>
      <c r="K36" s="184">
        <v>350000</v>
      </c>
      <c r="L36" s="184">
        <v>350000</v>
      </c>
      <c r="M36" s="184">
        <v>350000</v>
      </c>
      <c r="N36" s="185">
        <f t="shared" si="8"/>
        <v>0</v>
      </c>
      <c r="O36" s="184">
        <f>IF(K36-$N36&gt;0,K36-$N36,0)</f>
        <v>350000</v>
      </c>
      <c r="P36" s="184">
        <f>IF(L36-$N36&gt;0,L36-$N36,0)</f>
        <v>350000</v>
      </c>
      <c r="Q36" s="184">
        <f>IF(M36-$N36&gt;0,M36-$N36,0)</f>
        <v>350000</v>
      </c>
      <c r="R36" s="186">
        <f t="shared" si="18"/>
        <v>350000</v>
      </c>
      <c r="S36" s="183">
        <f t="shared" si="19"/>
        <v>805000</v>
      </c>
      <c r="T36" s="187">
        <f>ROUNDDOWN((S36/24*1.059)+(VLOOKUP(I36,구분자!$P:$Q,2,FALSE)*0.75),-3)</f>
        <v>63000</v>
      </c>
      <c r="W36" s="124"/>
    </row>
    <row r="37" spans="1:23" s="2" customFormat="1" ht="25.05" customHeight="1">
      <c r="A37" s="115" t="s">
        <v>1488</v>
      </c>
      <c r="B37" s="120">
        <f>VLOOKUP($A37,출고가!$C:$E,3,FALSE)</f>
        <v>1353000</v>
      </c>
      <c r="C37" s="120" t="str">
        <f t="shared" si="14"/>
        <v>SM-S936NK베이직</v>
      </c>
      <c r="D37" s="125"/>
      <c r="E37" s="122" t="s">
        <v>229</v>
      </c>
      <c r="F37" s="210" t="str">
        <f>A37</f>
        <v>SM-S936NK</v>
      </c>
      <c r="G37" s="210" t="str">
        <f>VLOOKUP(F37,출고가!C:D,2,0)</f>
        <v>갤럭시S25+ (256GB)</v>
      </c>
      <c r="H37" s="123">
        <f>B37</f>
        <v>1353000</v>
      </c>
      <c r="I37" s="169" t="s">
        <v>357</v>
      </c>
      <c r="J37" s="170" t="s">
        <v>1521</v>
      </c>
      <c r="K37" s="170">
        <v>580000</v>
      </c>
      <c r="L37" s="170">
        <v>580000</v>
      </c>
      <c r="M37" s="170">
        <v>580000</v>
      </c>
      <c r="N37" s="171">
        <f t="shared" si="8"/>
        <v>0</v>
      </c>
      <c r="O37" s="172">
        <f t="shared" ref="O37:O39" si="20">IF(K37-$N37&gt;0,K37-$N37,0)</f>
        <v>580000</v>
      </c>
      <c r="P37" s="172">
        <f t="shared" ref="P37:P39" si="21">IF(L37-$N37&gt;0,L37-$N37,0)</f>
        <v>580000</v>
      </c>
      <c r="Q37" s="172">
        <f t="shared" ref="Q37:Q39" si="22">IF(M37-$N37&gt;0,M37-$N37,0)</f>
        <v>580000</v>
      </c>
      <c r="R37" s="173">
        <f t="shared" si="18"/>
        <v>580000</v>
      </c>
      <c r="S37" s="174">
        <f t="shared" si="19"/>
        <v>773000</v>
      </c>
      <c r="T37" s="175">
        <f>ROUNDDOWN((S37/24*1.059)+(VLOOKUP(I37,구분자!$P:$Q,2,FALSE)*0.75),-3)</f>
        <v>94000</v>
      </c>
      <c r="W37" s="124"/>
    </row>
    <row r="38" spans="1:23" s="2" customFormat="1" ht="25.05" customHeight="1">
      <c r="A38" s="115" t="s">
        <v>1487</v>
      </c>
      <c r="B38" s="120">
        <f>VLOOKUP($A38,출고가!$C:$E,3,FALSE)</f>
        <v>1353000</v>
      </c>
      <c r="C38" s="120" t="str">
        <f t="shared" si="14"/>
        <v>SM-S936NK심플30G</v>
      </c>
      <c r="D38" s="125"/>
      <c r="E38" s="126"/>
      <c r="F38" s="211"/>
      <c r="G38" s="211"/>
      <c r="H38" s="127"/>
      <c r="I38" s="176" t="s">
        <v>988</v>
      </c>
      <c r="J38" s="177" t="s">
        <v>1522</v>
      </c>
      <c r="K38" s="178">
        <v>530000</v>
      </c>
      <c r="L38" s="178">
        <v>530000</v>
      </c>
      <c r="M38" s="178">
        <v>530000</v>
      </c>
      <c r="N38" s="179">
        <f t="shared" si="8"/>
        <v>0</v>
      </c>
      <c r="O38" s="178">
        <f t="shared" si="20"/>
        <v>530000</v>
      </c>
      <c r="P38" s="178">
        <f t="shared" si="21"/>
        <v>530000</v>
      </c>
      <c r="Q38" s="178">
        <f t="shared" si="22"/>
        <v>530000</v>
      </c>
      <c r="R38" s="180">
        <f t="shared" si="18"/>
        <v>530000</v>
      </c>
      <c r="S38" s="177">
        <f t="shared" si="19"/>
        <v>823000</v>
      </c>
      <c r="T38" s="181">
        <f>ROUNDDOWN((S38/24*1.059)+(VLOOKUP(I38,구분자!$P:$Q,2,FALSE)*0.75),-3)</f>
        <v>82000</v>
      </c>
      <c r="W38" s="124"/>
    </row>
    <row r="39" spans="1:23" s="2" customFormat="1" ht="25.05" customHeight="1">
      <c r="A39" s="115" t="s">
        <v>1487</v>
      </c>
      <c r="B39" s="120">
        <f>VLOOKUP($A39,출고가!$C:$E,3,FALSE)</f>
        <v>1353000</v>
      </c>
      <c r="C39" s="120" t="str">
        <f t="shared" si="14"/>
        <v>SM-S936NK슬림10G</v>
      </c>
      <c r="D39" s="125"/>
      <c r="E39" s="126"/>
      <c r="F39" s="211"/>
      <c r="G39" s="211"/>
      <c r="H39" s="127"/>
      <c r="I39" s="176" t="s">
        <v>992</v>
      </c>
      <c r="J39" s="177" t="s">
        <v>1523</v>
      </c>
      <c r="K39" s="178">
        <v>480000</v>
      </c>
      <c r="L39" s="178">
        <v>480000</v>
      </c>
      <c r="M39" s="178">
        <v>480000</v>
      </c>
      <c r="N39" s="179">
        <f t="shared" si="8"/>
        <v>0</v>
      </c>
      <c r="O39" s="178">
        <f t="shared" si="20"/>
        <v>480000</v>
      </c>
      <c r="P39" s="178">
        <f t="shared" si="21"/>
        <v>480000</v>
      </c>
      <c r="Q39" s="178">
        <f t="shared" si="22"/>
        <v>480000</v>
      </c>
      <c r="R39" s="180">
        <f t="shared" si="18"/>
        <v>480000</v>
      </c>
      <c r="S39" s="177">
        <f t="shared" si="19"/>
        <v>873000</v>
      </c>
      <c r="T39" s="181">
        <f>ROUNDDOWN((S39/24*1.059)+(VLOOKUP(I39,구분자!$P:$Q,2,FALSE)*0.75),-3)</f>
        <v>76000</v>
      </c>
      <c r="W39" s="124"/>
    </row>
    <row r="40" spans="1:23" s="2" customFormat="1" ht="25.05" customHeight="1">
      <c r="A40" s="115" t="s">
        <v>1487</v>
      </c>
      <c r="B40" s="120">
        <f>VLOOKUP($A40,출고가!$C:$E,3,FALSE)</f>
        <v>1353000</v>
      </c>
      <c r="C40" s="120" t="str">
        <f t="shared" si="14"/>
        <v>SM-S936NK슬림4G</v>
      </c>
      <c r="D40" s="125"/>
      <c r="E40" s="128"/>
      <c r="F40" s="212"/>
      <c r="G40" s="212"/>
      <c r="H40" s="129"/>
      <c r="I40" s="182" t="s">
        <v>990</v>
      </c>
      <c r="J40" s="183" t="s">
        <v>1524</v>
      </c>
      <c r="K40" s="184">
        <v>350000</v>
      </c>
      <c r="L40" s="184">
        <v>350000</v>
      </c>
      <c r="M40" s="184">
        <v>350000</v>
      </c>
      <c r="N40" s="185">
        <f t="shared" si="8"/>
        <v>0</v>
      </c>
      <c r="O40" s="184">
        <f>IF(K40-$N40&gt;0,K40-$N40,0)</f>
        <v>350000</v>
      </c>
      <c r="P40" s="184">
        <f>IF(L40-$N40&gt;0,L40-$N40,0)</f>
        <v>350000</v>
      </c>
      <c r="Q40" s="184">
        <f>IF(M40-$N40&gt;0,M40-$N40,0)</f>
        <v>350000</v>
      </c>
      <c r="R40" s="186">
        <f t="shared" si="18"/>
        <v>350000</v>
      </c>
      <c r="S40" s="183">
        <f t="shared" si="19"/>
        <v>1003000</v>
      </c>
      <c r="T40" s="187">
        <f>ROUNDDOWN((S40/24*1.059)+(VLOOKUP(I40,구분자!$P:$Q,2,FALSE)*0.75),-3)</f>
        <v>72000</v>
      </c>
      <c r="W40" s="124"/>
    </row>
    <row r="41" spans="1:23" s="2" customFormat="1" ht="25.05" customHeight="1">
      <c r="A41" s="115" t="s">
        <v>1490</v>
      </c>
      <c r="B41" s="120">
        <f>VLOOKUP($A41,출고가!$C:$E,3,FALSE)</f>
        <v>1698400</v>
      </c>
      <c r="C41" s="120" t="str">
        <f t="shared" si="14"/>
        <v>SM-S938NK베이직</v>
      </c>
      <c r="D41" s="125"/>
      <c r="E41" s="122" t="s">
        <v>229</v>
      </c>
      <c r="F41" s="210" t="str">
        <f>A41</f>
        <v>SM-S938NK</v>
      </c>
      <c r="G41" s="210" t="str">
        <f>VLOOKUP(F41,출고가!C:D,2,0)</f>
        <v>갤럭시S25 울트라 (256GB)</v>
      </c>
      <c r="H41" s="123">
        <f>B41</f>
        <v>1698400</v>
      </c>
      <c r="I41" s="169" t="s">
        <v>357</v>
      </c>
      <c r="J41" s="170" t="s">
        <v>1521</v>
      </c>
      <c r="K41" s="170">
        <v>580000</v>
      </c>
      <c r="L41" s="170">
        <v>580000</v>
      </c>
      <c r="M41" s="170">
        <v>580000</v>
      </c>
      <c r="N41" s="171">
        <f t="shared" si="8"/>
        <v>0</v>
      </c>
      <c r="O41" s="172">
        <f t="shared" ref="O41:O43" si="23">IF(K41-$N41&gt;0,K41-$N41,0)</f>
        <v>580000</v>
      </c>
      <c r="P41" s="172">
        <f t="shared" ref="P41:P43" si="24">IF(L41-$N41&gt;0,L41-$N41,0)</f>
        <v>580000</v>
      </c>
      <c r="Q41" s="172">
        <f t="shared" ref="Q41:Q43" si="25">IF(M41-$N41&gt;0,M41-$N41,0)</f>
        <v>580000</v>
      </c>
      <c r="R41" s="173">
        <f t="shared" si="18"/>
        <v>580000</v>
      </c>
      <c r="S41" s="174">
        <f t="shared" si="19"/>
        <v>1118400</v>
      </c>
      <c r="T41" s="175">
        <f>ROUNDDOWN((S41/24*1.059)+(VLOOKUP(I41,구분자!$P:$Q,2,FALSE)*0.75),-3)</f>
        <v>109000</v>
      </c>
      <c r="W41" s="124"/>
    </row>
    <row r="42" spans="1:23" s="2" customFormat="1" ht="25.05" customHeight="1">
      <c r="A42" s="115" t="s">
        <v>1489</v>
      </c>
      <c r="B42" s="120">
        <f>VLOOKUP($A42,출고가!$C:$E,3,FALSE)</f>
        <v>1698400</v>
      </c>
      <c r="C42" s="120" t="str">
        <f t="shared" si="14"/>
        <v>SM-S938NK심플30G</v>
      </c>
      <c r="D42" s="125"/>
      <c r="E42" s="126"/>
      <c r="F42" s="211"/>
      <c r="G42" s="211"/>
      <c r="H42" s="127"/>
      <c r="I42" s="176" t="s">
        <v>988</v>
      </c>
      <c r="J42" s="177" t="s">
        <v>1522</v>
      </c>
      <c r="K42" s="178">
        <v>530000</v>
      </c>
      <c r="L42" s="178">
        <v>530000</v>
      </c>
      <c r="M42" s="178">
        <v>530000</v>
      </c>
      <c r="N42" s="179">
        <f t="shared" si="8"/>
        <v>0</v>
      </c>
      <c r="O42" s="178">
        <f t="shared" si="23"/>
        <v>530000</v>
      </c>
      <c r="P42" s="178">
        <f t="shared" si="24"/>
        <v>530000</v>
      </c>
      <c r="Q42" s="178">
        <f t="shared" si="25"/>
        <v>530000</v>
      </c>
      <c r="R42" s="180">
        <f t="shared" si="18"/>
        <v>530000</v>
      </c>
      <c r="S42" s="177">
        <f t="shared" si="19"/>
        <v>1168400</v>
      </c>
      <c r="T42" s="181">
        <f>ROUNDDOWN((S42/24*1.059)+(VLOOKUP(I42,구분자!$P:$Q,2,FALSE)*0.75),-3)</f>
        <v>97000</v>
      </c>
      <c r="W42" s="124"/>
    </row>
    <row r="43" spans="1:23" s="2" customFormat="1" ht="25.05" customHeight="1">
      <c r="A43" s="115" t="s">
        <v>1489</v>
      </c>
      <c r="B43" s="120">
        <f>VLOOKUP($A43,출고가!$C:$E,3,FALSE)</f>
        <v>1698400</v>
      </c>
      <c r="C43" s="120" t="str">
        <f t="shared" si="14"/>
        <v>SM-S938NK슬림10G</v>
      </c>
      <c r="D43" s="125"/>
      <c r="E43" s="126"/>
      <c r="F43" s="211"/>
      <c r="G43" s="211"/>
      <c r="H43" s="127"/>
      <c r="I43" s="176" t="s">
        <v>992</v>
      </c>
      <c r="J43" s="177" t="s">
        <v>1523</v>
      </c>
      <c r="K43" s="178">
        <v>480000</v>
      </c>
      <c r="L43" s="178">
        <v>480000</v>
      </c>
      <c r="M43" s="178">
        <v>480000</v>
      </c>
      <c r="N43" s="179">
        <f t="shared" si="8"/>
        <v>0</v>
      </c>
      <c r="O43" s="178">
        <f t="shared" si="23"/>
        <v>480000</v>
      </c>
      <c r="P43" s="178">
        <f t="shared" si="24"/>
        <v>480000</v>
      </c>
      <c r="Q43" s="178">
        <f t="shared" si="25"/>
        <v>480000</v>
      </c>
      <c r="R43" s="180">
        <f t="shared" si="18"/>
        <v>480000</v>
      </c>
      <c r="S43" s="177">
        <f t="shared" si="19"/>
        <v>1218400</v>
      </c>
      <c r="T43" s="181">
        <f>ROUNDDOWN((S43/24*1.059)+(VLOOKUP(I43,구분자!$P:$Q,2,FALSE)*0.75),-3)</f>
        <v>91000</v>
      </c>
      <c r="W43" s="124"/>
    </row>
    <row r="44" spans="1:23" s="2" customFormat="1" ht="25.05" customHeight="1">
      <c r="A44" s="115" t="s">
        <v>1489</v>
      </c>
      <c r="B44" s="120">
        <f>VLOOKUP($A44,출고가!$C:$E,3,FALSE)</f>
        <v>1698400</v>
      </c>
      <c r="C44" s="120" t="str">
        <f t="shared" si="14"/>
        <v>SM-S938NK슬림4G</v>
      </c>
      <c r="D44" s="125"/>
      <c r="E44" s="128"/>
      <c r="F44" s="212"/>
      <c r="G44" s="212"/>
      <c r="H44" s="129"/>
      <c r="I44" s="182" t="s">
        <v>990</v>
      </c>
      <c r="J44" s="183" t="s">
        <v>1524</v>
      </c>
      <c r="K44" s="184">
        <v>350000</v>
      </c>
      <c r="L44" s="184">
        <v>350000</v>
      </c>
      <c r="M44" s="184">
        <v>350000</v>
      </c>
      <c r="N44" s="185">
        <f t="shared" si="8"/>
        <v>0</v>
      </c>
      <c r="O44" s="184">
        <f>IF(K44-$N44&gt;0,K44-$N44,0)</f>
        <v>350000</v>
      </c>
      <c r="P44" s="184">
        <f>IF(L44-$N44&gt;0,L44-$N44,0)</f>
        <v>350000</v>
      </c>
      <c r="Q44" s="184">
        <f>IF(M44-$N44&gt;0,M44-$N44,0)</f>
        <v>350000</v>
      </c>
      <c r="R44" s="186">
        <f t="shared" si="18"/>
        <v>350000</v>
      </c>
      <c r="S44" s="183">
        <f t="shared" si="19"/>
        <v>1348400</v>
      </c>
      <c r="T44" s="187">
        <f>ROUNDDOWN((S44/24*1.059)+(VLOOKUP(I44,구분자!$P:$Q,2,FALSE)*0.75),-3)</f>
        <v>87000</v>
      </c>
      <c r="W44" s="124"/>
    </row>
    <row r="45" spans="1:23" s="2" customFormat="1" ht="25.05" customHeight="1">
      <c r="A45" s="115" t="s">
        <v>1267</v>
      </c>
      <c r="B45" s="120">
        <f>VLOOKUP($A45,출고가!$C:$E,3,FALSE)</f>
        <v>1485000</v>
      </c>
      <c r="C45" s="120" t="str">
        <f t="shared" ref="C45:C52" si="26">A45&amp;I45</f>
        <v>SM-F741NK베이직</v>
      </c>
      <c r="D45" s="125"/>
      <c r="E45" s="122" t="s">
        <v>229</v>
      </c>
      <c r="F45" s="210" t="str">
        <f>A45</f>
        <v>SM-F741NK</v>
      </c>
      <c r="G45" s="210" t="str">
        <f>VLOOKUP(F45,출고가!C:D,2,0)</f>
        <v>갤럭시 Z Flip6</v>
      </c>
      <c r="H45" s="123">
        <f>B45</f>
        <v>1485000</v>
      </c>
      <c r="I45" s="169" t="s">
        <v>357</v>
      </c>
      <c r="J45" s="170" t="s">
        <v>1521</v>
      </c>
      <c r="K45" s="170">
        <v>580000</v>
      </c>
      <c r="L45" s="170">
        <v>580000</v>
      </c>
      <c r="M45" s="170">
        <v>580000</v>
      </c>
      <c r="N45" s="171">
        <f t="shared" si="8"/>
        <v>0</v>
      </c>
      <c r="O45" s="172">
        <f t="shared" ref="O45:O47" si="27">IF(K45-$N45&gt;0,K45-$N45,0)</f>
        <v>580000</v>
      </c>
      <c r="P45" s="172">
        <f t="shared" ref="P45:P47" si="28">IF(L45-$N45&gt;0,L45-$N45,0)</f>
        <v>580000</v>
      </c>
      <c r="Q45" s="172">
        <f t="shared" ref="Q45:Q47" si="29">IF(M45-$N45&gt;0,M45-$N45,0)</f>
        <v>580000</v>
      </c>
      <c r="R45" s="173">
        <f t="shared" ref="R45:R52" si="30">IF($R$8=$O$8,O45,IF($R$8=$P$8,P45,Q45))</f>
        <v>580000</v>
      </c>
      <c r="S45" s="174">
        <f t="shared" si="19"/>
        <v>905000</v>
      </c>
      <c r="T45" s="175">
        <f>ROUNDDOWN((S45/24*1.059)+(VLOOKUP(I45,구분자!$P:$Q,2,FALSE)*0.75),-3)</f>
        <v>99000</v>
      </c>
      <c r="W45" s="124"/>
    </row>
    <row r="46" spans="1:23" s="2" customFormat="1" ht="25.05" customHeight="1">
      <c r="A46" s="115" t="s">
        <v>1259</v>
      </c>
      <c r="B46" s="120">
        <f>VLOOKUP($A46,출고가!$C:$E,3,FALSE)</f>
        <v>1485000</v>
      </c>
      <c r="C46" s="120" t="str">
        <f t="shared" si="26"/>
        <v>SM-F741NK심플30G</v>
      </c>
      <c r="D46" s="125"/>
      <c r="E46" s="126"/>
      <c r="F46" s="211"/>
      <c r="G46" s="211"/>
      <c r="H46" s="127"/>
      <c r="I46" s="176" t="s">
        <v>988</v>
      </c>
      <c r="J46" s="177" t="s">
        <v>1522</v>
      </c>
      <c r="K46" s="178">
        <v>530000</v>
      </c>
      <c r="L46" s="178">
        <v>530000</v>
      </c>
      <c r="M46" s="178">
        <v>530000</v>
      </c>
      <c r="N46" s="179">
        <f t="shared" si="8"/>
        <v>0</v>
      </c>
      <c r="O46" s="178">
        <f t="shared" si="27"/>
        <v>530000</v>
      </c>
      <c r="P46" s="178">
        <f t="shared" si="28"/>
        <v>530000</v>
      </c>
      <c r="Q46" s="178">
        <f t="shared" si="29"/>
        <v>530000</v>
      </c>
      <c r="R46" s="180">
        <f t="shared" si="30"/>
        <v>530000</v>
      </c>
      <c r="S46" s="177">
        <f t="shared" si="19"/>
        <v>955000</v>
      </c>
      <c r="T46" s="181">
        <f>ROUNDDOWN((S46/24*1.059)+(VLOOKUP(I46,구분자!$P:$Q,2,FALSE)*0.75),-3)</f>
        <v>87000</v>
      </c>
      <c r="W46" s="124"/>
    </row>
    <row r="47" spans="1:23" s="2" customFormat="1" ht="25.05" customHeight="1">
      <c r="A47" s="115" t="s">
        <v>1259</v>
      </c>
      <c r="B47" s="120">
        <f>VLOOKUP($A47,출고가!$C:$E,3,FALSE)</f>
        <v>1485000</v>
      </c>
      <c r="C47" s="120" t="str">
        <f t="shared" si="26"/>
        <v>SM-F741NK슬림10G</v>
      </c>
      <c r="D47" s="125"/>
      <c r="E47" s="126"/>
      <c r="F47" s="211"/>
      <c r="G47" s="211"/>
      <c r="H47" s="127"/>
      <c r="I47" s="176" t="s">
        <v>992</v>
      </c>
      <c r="J47" s="177" t="s">
        <v>1523</v>
      </c>
      <c r="K47" s="178">
        <v>480000</v>
      </c>
      <c r="L47" s="178">
        <v>480000</v>
      </c>
      <c r="M47" s="178">
        <v>480000</v>
      </c>
      <c r="N47" s="179">
        <f t="shared" si="8"/>
        <v>0</v>
      </c>
      <c r="O47" s="178">
        <f t="shared" si="27"/>
        <v>480000</v>
      </c>
      <c r="P47" s="178">
        <f t="shared" si="28"/>
        <v>480000</v>
      </c>
      <c r="Q47" s="178">
        <f t="shared" si="29"/>
        <v>480000</v>
      </c>
      <c r="R47" s="180">
        <f t="shared" si="30"/>
        <v>480000</v>
      </c>
      <c r="S47" s="177">
        <f t="shared" si="19"/>
        <v>1005000</v>
      </c>
      <c r="T47" s="181">
        <f>ROUNDDOWN((S47/24*1.059)+(VLOOKUP(I47,구분자!$P:$Q,2,FALSE)*0.75),-3)</f>
        <v>81000</v>
      </c>
      <c r="W47" s="124"/>
    </row>
    <row r="48" spans="1:23" s="2" customFormat="1" ht="25.05" customHeight="1">
      <c r="A48" s="115" t="s">
        <v>1259</v>
      </c>
      <c r="B48" s="120">
        <f>VLOOKUP($A48,출고가!$C:$E,3,FALSE)</f>
        <v>1485000</v>
      </c>
      <c r="C48" s="120" t="str">
        <f t="shared" si="26"/>
        <v>SM-F741NK슬림4G</v>
      </c>
      <c r="D48" s="125"/>
      <c r="E48" s="128"/>
      <c r="F48" s="212"/>
      <c r="G48" s="212"/>
      <c r="H48" s="129"/>
      <c r="I48" s="182" t="s">
        <v>990</v>
      </c>
      <c r="J48" s="183" t="s">
        <v>1524</v>
      </c>
      <c r="K48" s="184">
        <v>350000</v>
      </c>
      <c r="L48" s="184">
        <v>350000</v>
      </c>
      <c r="M48" s="184">
        <v>350000</v>
      </c>
      <c r="N48" s="185">
        <f t="shared" si="8"/>
        <v>0</v>
      </c>
      <c r="O48" s="184">
        <f>IF(K48-$N48&gt;0,K48-$N48,0)</f>
        <v>350000</v>
      </c>
      <c r="P48" s="184">
        <f>IF(L48-$N48&gt;0,L48-$N48,0)</f>
        <v>350000</v>
      </c>
      <c r="Q48" s="184">
        <f>IF(M48-$N48&gt;0,M48-$N48,0)</f>
        <v>350000</v>
      </c>
      <c r="R48" s="186">
        <f t="shared" si="30"/>
        <v>350000</v>
      </c>
      <c r="S48" s="183">
        <f t="shared" si="19"/>
        <v>1135000</v>
      </c>
      <c r="T48" s="187">
        <f>ROUNDDOWN((S48/24*1.059)+(VLOOKUP(I48,구분자!$P:$Q,2,FALSE)*0.75),-3)</f>
        <v>77000</v>
      </c>
      <c r="W48" s="124"/>
    </row>
    <row r="49" spans="1:23" s="2" customFormat="1" ht="25.05" customHeight="1">
      <c r="A49" s="115" t="s">
        <v>1268</v>
      </c>
      <c r="B49" s="120">
        <f>VLOOKUP($A49,출고가!$C:$E,3,FALSE)</f>
        <v>2229700</v>
      </c>
      <c r="C49" s="120" t="str">
        <f t="shared" si="26"/>
        <v>SM-F956NK베이직</v>
      </c>
      <c r="D49" s="125"/>
      <c r="E49" s="122" t="s">
        <v>229</v>
      </c>
      <c r="F49" s="210" t="str">
        <f>A49</f>
        <v>SM-F956NK</v>
      </c>
      <c r="G49" s="210" t="str">
        <f>VLOOKUP(F49,출고가!C:D,2,0)</f>
        <v>갤럭시 Z Fold6</v>
      </c>
      <c r="H49" s="123">
        <f>B49</f>
        <v>2229700</v>
      </c>
      <c r="I49" s="169" t="s">
        <v>357</v>
      </c>
      <c r="J49" s="170" t="s">
        <v>1521</v>
      </c>
      <c r="K49" s="170">
        <v>580000</v>
      </c>
      <c r="L49" s="170">
        <v>580000</v>
      </c>
      <c r="M49" s="170">
        <v>580000</v>
      </c>
      <c r="N49" s="171">
        <f t="shared" si="8"/>
        <v>0</v>
      </c>
      <c r="O49" s="172">
        <f t="shared" ref="O49:O51" si="31">IF(K49-$N49&gt;0,K49-$N49,0)</f>
        <v>580000</v>
      </c>
      <c r="P49" s="172">
        <f t="shared" ref="P49:P51" si="32">IF(L49-$N49&gt;0,L49-$N49,0)</f>
        <v>580000</v>
      </c>
      <c r="Q49" s="172">
        <f t="shared" ref="Q49:Q51" si="33">IF(M49-$N49&gt;0,M49-$N49,0)</f>
        <v>580000</v>
      </c>
      <c r="R49" s="173">
        <f t="shared" si="30"/>
        <v>580000</v>
      </c>
      <c r="S49" s="174">
        <f t="shared" ref="S49:S52" si="34">IF(B49-R49&gt;0,B49-R49,0)</f>
        <v>1649700</v>
      </c>
      <c r="T49" s="175">
        <f>ROUNDDOWN((S49/24*1.059)+(VLOOKUP(I49,구분자!$P:$Q,2,FALSE)*0.75),-3)</f>
        <v>132000</v>
      </c>
      <c r="W49" s="124"/>
    </row>
    <row r="50" spans="1:23" s="2" customFormat="1" ht="25.05" customHeight="1">
      <c r="A50" s="115" t="s">
        <v>1268</v>
      </c>
      <c r="B50" s="120">
        <f>VLOOKUP($A50,출고가!$C:$E,3,FALSE)</f>
        <v>2229700</v>
      </c>
      <c r="C50" s="120" t="str">
        <f t="shared" si="26"/>
        <v>SM-F956NK심플30G</v>
      </c>
      <c r="D50" s="125"/>
      <c r="E50" s="126"/>
      <c r="F50" s="211"/>
      <c r="G50" s="211"/>
      <c r="H50" s="127"/>
      <c r="I50" s="176" t="s">
        <v>988</v>
      </c>
      <c r="J50" s="177" t="s">
        <v>1522</v>
      </c>
      <c r="K50" s="178">
        <v>530000</v>
      </c>
      <c r="L50" s="178">
        <v>530000</v>
      </c>
      <c r="M50" s="178">
        <v>530000</v>
      </c>
      <c r="N50" s="179">
        <f t="shared" si="8"/>
        <v>0</v>
      </c>
      <c r="O50" s="178">
        <f t="shared" si="31"/>
        <v>530000</v>
      </c>
      <c r="P50" s="178">
        <f t="shared" si="32"/>
        <v>530000</v>
      </c>
      <c r="Q50" s="178">
        <f t="shared" si="33"/>
        <v>530000</v>
      </c>
      <c r="R50" s="180">
        <f t="shared" si="30"/>
        <v>530000</v>
      </c>
      <c r="S50" s="177">
        <f t="shared" si="34"/>
        <v>1699700</v>
      </c>
      <c r="T50" s="181">
        <f>ROUNDDOWN((S50/24*1.059)+(VLOOKUP(I50,구분자!$P:$Q,2,FALSE)*0.75),-3)</f>
        <v>120000</v>
      </c>
      <c r="W50" s="124"/>
    </row>
    <row r="51" spans="1:23" s="2" customFormat="1" ht="25.05" customHeight="1">
      <c r="A51" s="115" t="s">
        <v>1268</v>
      </c>
      <c r="B51" s="120">
        <f>VLOOKUP($A51,출고가!$C:$E,3,FALSE)</f>
        <v>2229700</v>
      </c>
      <c r="C51" s="120" t="str">
        <f t="shared" si="26"/>
        <v>SM-F956NK슬림10G</v>
      </c>
      <c r="D51" s="125"/>
      <c r="E51" s="126"/>
      <c r="F51" s="211"/>
      <c r="G51" s="211"/>
      <c r="H51" s="127"/>
      <c r="I51" s="176" t="s">
        <v>992</v>
      </c>
      <c r="J51" s="177" t="s">
        <v>1523</v>
      </c>
      <c r="K51" s="178">
        <v>480000</v>
      </c>
      <c r="L51" s="178">
        <v>480000</v>
      </c>
      <c r="M51" s="178">
        <v>480000</v>
      </c>
      <c r="N51" s="179">
        <f t="shared" si="8"/>
        <v>0</v>
      </c>
      <c r="O51" s="178">
        <f t="shared" si="31"/>
        <v>480000</v>
      </c>
      <c r="P51" s="178">
        <f t="shared" si="32"/>
        <v>480000</v>
      </c>
      <c r="Q51" s="178">
        <f t="shared" si="33"/>
        <v>480000</v>
      </c>
      <c r="R51" s="180">
        <f t="shared" si="30"/>
        <v>480000</v>
      </c>
      <c r="S51" s="177">
        <f t="shared" si="34"/>
        <v>1749700</v>
      </c>
      <c r="T51" s="181">
        <f>ROUNDDOWN((S51/24*1.059)+(VLOOKUP(I51,구분자!$P:$Q,2,FALSE)*0.75),-3)</f>
        <v>114000</v>
      </c>
      <c r="W51" s="124"/>
    </row>
    <row r="52" spans="1:23" s="2" customFormat="1" ht="25.05" customHeight="1">
      <c r="A52" s="115" t="s">
        <v>1268</v>
      </c>
      <c r="B52" s="120">
        <f>VLOOKUP($A52,출고가!$C:$E,3,FALSE)</f>
        <v>2229700</v>
      </c>
      <c r="C52" s="120" t="str">
        <f t="shared" si="26"/>
        <v>SM-F956NK슬림4G</v>
      </c>
      <c r="D52" s="125"/>
      <c r="E52" s="128"/>
      <c r="F52" s="212"/>
      <c r="G52" s="212"/>
      <c r="H52" s="129"/>
      <c r="I52" s="182" t="s">
        <v>990</v>
      </c>
      <c r="J52" s="183" t="s">
        <v>1524</v>
      </c>
      <c r="K52" s="184">
        <v>350000</v>
      </c>
      <c r="L52" s="184">
        <v>350000</v>
      </c>
      <c r="M52" s="184">
        <v>350000</v>
      </c>
      <c r="N52" s="185">
        <f t="shared" si="8"/>
        <v>0</v>
      </c>
      <c r="O52" s="184">
        <f>IF(K52-$N52&gt;0,K52-$N52,0)</f>
        <v>350000</v>
      </c>
      <c r="P52" s="184">
        <f>IF(L52-$N52&gt;0,L52-$N52,0)</f>
        <v>350000</v>
      </c>
      <c r="Q52" s="184">
        <f>IF(M52-$N52&gt;0,M52-$N52,0)</f>
        <v>350000</v>
      </c>
      <c r="R52" s="186">
        <f t="shared" si="30"/>
        <v>350000</v>
      </c>
      <c r="S52" s="183">
        <f t="shared" si="34"/>
        <v>1879700</v>
      </c>
      <c r="T52" s="187">
        <f>ROUNDDOWN((S52/24*1.059)+(VLOOKUP(I52,구분자!$P:$Q,2,FALSE)*0.75),-3)</f>
        <v>110000</v>
      </c>
      <c r="W52" s="124"/>
    </row>
    <row r="53" spans="1:23" s="2" customFormat="1" ht="25.05" customHeight="1">
      <c r="A53" s="115" t="s">
        <v>1623</v>
      </c>
      <c r="B53" s="120">
        <f>VLOOKUP($A53,출고가!$C:$E,3,FALSE)</f>
        <v>946000</v>
      </c>
      <c r="C53" s="120" t="str">
        <f t="shared" ref="C53:C56" si="35">A53&amp;I53</f>
        <v>SM-S731NK베이직</v>
      </c>
      <c r="D53" s="125"/>
      <c r="E53" s="122" t="s">
        <v>229</v>
      </c>
      <c r="F53" s="210" t="str">
        <f>A53</f>
        <v>SM-S731NK</v>
      </c>
      <c r="G53" s="210" t="str">
        <f>VLOOKUP(F53,출고가!C:D,2,0)</f>
        <v>갤럭시S25FE(256GB)</v>
      </c>
      <c r="H53" s="123">
        <f>B53</f>
        <v>946000</v>
      </c>
      <c r="I53" s="169" t="s">
        <v>357</v>
      </c>
      <c r="J53" s="170" t="s">
        <v>1521</v>
      </c>
      <c r="K53" s="170">
        <v>550000</v>
      </c>
      <c r="L53" s="170">
        <v>550000</v>
      </c>
      <c r="M53" s="170">
        <v>550000</v>
      </c>
      <c r="N53" s="171">
        <f t="shared" si="8"/>
        <v>0</v>
      </c>
      <c r="O53" s="172">
        <f t="shared" ref="O53:O55" si="36">IF(K53-$N53&gt;0,K53-$N53,0)</f>
        <v>550000</v>
      </c>
      <c r="P53" s="172">
        <f t="shared" ref="P53:P55" si="37">IF(L53-$N53&gt;0,L53-$N53,0)</f>
        <v>550000</v>
      </c>
      <c r="Q53" s="172">
        <f t="shared" ref="Q53:Q55" si="38">IF(M53-$N53&gt;0,M53-$N53,0)</f>
        <v>550000</v>
      </c>
      <c r="R53" s="173">
        <f t="shared" ref="R53:R56" si="39">IF($R$8=$O$8,O53,IF($R$8=$P$8,P53,Q53))</f>
        <v>550000</v>
      </c>
      <c r="S53" s="174">
        <f t="shared" ref="S53:S56" si="40">IF(B53-R53&gt;0,B53-R53,0)</f>
        <v>396000</v>
      </c>
      <c r="T53" s="175">
        <f>ROUNDDOWN((S53/24*1.059)+(VLOOKUP(I53,구분자!$P:$Q,2,FALSE)*0.75),-3)</f>
        <v>77000</v>
      </c>
      <c r="W53" s="124"/>
    </row>
    <row r="54" spans="1:23" s="2" customFormat="1" ht="25.05" customHeight="1">
      <c r="A54" s="115" t="s">
        <v>1623</v>
      </c>
      <c r="B54" s="120">
        <f>VLOOKUP($A54,출고가!$C:$E,3,FALSE)</f>
        <v>946000</v>
      </c>
      <c r="C54" s="120" t="str">
        <f t="shared" si="35"/>
        <v>SM-S731NK심플30G</v>
      </c>
      <c r="D54" s="125"/>
      <c r="E54" s="126"/>
      <c r="F54" s="211"/>
      <c r="G54" s="211"/>
      <c r="H54" s="127"/>
      <c r="I54" s="176" t="s">
        <v>988</v>
      </c>
      <c r="J54" s="177" t="s">
        <v>1522</v>
      </c>
      <c r="K54" s="178">
        <v>500000</v>
      </c>
      <c r="L54" s="178">
        <v>500000</v>
      </c>
      <c r="M54" s="178">
        <v>500000</v>
      </c>
      <c r="N54" s="179">
        <f t="shared" si="8"/>
        <v>0</v>
      </c>
      <c r="O54" s="178">
        <f t="shared" si="36"/>
        <v>500000</v>
      </c>
      <c r="P54" s="178">
        <f t="shared" si="37"/>
        <v>500000</v>
      </c>
      <c r="Q54" s="178">
        <f t="shared" si="38"/>
        <v>500000</v>
      </c>
      <c r="R54" s="180">
        <f t="shared" si="39"/>
        <v>500000</v>
      </c>
      <c r="S54" s="177">
        <f t="shared" si="40"/>
        <v>446000</v>
      </c>
      <c r="T54" s="181">
        <f>ROUNDDOWN((S54/24*1.059)+(VLOOKUP(I54,구분자!$P:$Q,2,FALSE)*0.75),-3)</f>
        <v>65000</v>
      </c>
      <c r="W54" s="124"/>
    </row>
    <row r="55" spans="1:23" s="2" customFormat="1" ht="25.05" customHeight="1">
      <c r="A55" s="115" t="s">
        <v>1623</v>
      </c>
      <c r="B55" s="120">
        <f>VLOOKUP($A55,출고가!$C:$E,3,FALSE)</f>
        <v>946000</v>
      </c>
      <c r="C55" s="120" t="str">
        <f t="shared" si="35"/>
        <v>SM-S731NK슬림10G</v>
      </c>
      <c r="D55" s="125"/>
      <c r="E55" s="126"/>
      <c r="F55" s="211"/>
      <c r="G55" s="211"/>
      <c r="H55" s="127"/>
      <c r="I55" s="176" t="s">
        <v>992</v>
      </c>
      <c r="J55" s="177" t="s">
        <v>1523</v>
      </c>
      <c r="K55" s="178">
        <v>450000</v>
      </c>
      <c r="L55" s="178">
        <v>450000</v>
      </c>
      <c r="M55" s="178">
        <v>450000</v>
      </c>
      <c r="N55" s="179">
        <f t="shared" si="8"/>
        <v>0</v>
      </c>
      <c r="O55" s="178">
        <f t="shared" si="36"/>
        <v>450000</v>
      </c>
      <c r="P55" s="178">
        <f t="shared" si="37"/>
        <v>450000</v>
      </c>
      <c r="Q55" s="178">
        <f t="shared" si="38"/>
        <v>450000</v>
      </c>
      <c r="R55" s="180">
        <f t="shared" si="39"/>
        <v>450000</v>
      </c>
      <c r="S55" s="177">
        <f t="shared" si="40"/>
        <v>496000</v>
      </c>
      <c r="T55" s="181">
        <f>ROUNDDOWN((S55/24*1.059)+(VLOOKUP(I55,구분자!$P:$Q,2,FALSE)*0.75),-3)</f>
        <v>59000</v>
      </c>
      <c r="W55" s="124"/>
    </row>
    <row r="56" spans="1:23" s="2" customFormat="1" ht="25.05" customHeight="1">
      <c r="A56" s="115" t="s">
        <v>1623</v>
      </c>
      <c r="B56" s="120">
        <f>VLOOKUP($A56,출고가!$C:$E,3,FALSE)</f>
        <v>946000</v>
      </c>
      <c r="C56" s="120" t="str">
        <f t="shared" si="35"/>
        <v>SM-S731NK슬림4G</v>
      </c>
      <c r="D56" s="125"/>
      <c r="E56" s="128"/>
      <c r="F56" s="212"/>
      <c r="G56" s="212"/>
      <c r="H56" s="129"/>
      <c r="I56" s="182" t="s">
        <v>990</v>
      </c>
      <c r="J56" s="183" t="s">
        <v>1524</v>
      </c>
      <c r="K56" s="184">
        <v>350000</v>
      </c>
      <c r="L56" s="184">
        <v>350000</v>
      </c>
      <c r="M56" s="184">
        <v>350000</v>
      </c>
      <c r="N56" s="185">
        <f t="shared" si="8"/>
        <v>0</v>
      </c>
      <c r="O56" s="184">
        <f>IF(K56-$N56&gt;0,K56-$N56,0)</f>
        <v>350000</v>
      </c>
      <c r="P56" s="184">
        <f>IF(L56-$N56&gt;0,L56-$N56,0)</f>
        <v>350000</v>
      </c>
      <c r="Q56" s="184">
        <f>IF(M56-$N56&gt;0,M56-$N56,0)</f>
        <v>350000</v>
      </c>
      <c r="R56" s="186">
        <f t="shared" si="39"/>
        <v>350000</v>
      </c>
      <c r="S56" s="183">
        <f t="shared" si="40"/>
        <v>596000</v>
      </c>
      <c r="T56" s="187">
        <f>ROUNDDOWN((S56/24*1.059)+(VLOOKUP(I56,구분자!$P:$Q,2,FALSE)*0.75),-3)</f>
        <v>54000</v>
      </c>
      <c r="W56" s="124"/>
    </row>
    <row r="57" spans="1:23" s="2" customFormat="1" ht="25.05" customHeight="1">
      <c r="A57" s="115" t="s">
        <v>1541</v>
      </c>
      <c r="B57" s="120">
        <f>VLOOKUP($A57,출고가!$C:$E,3,FALSE)</f>
        <v>499400</v>
      </c>
      <c r="C57" s="120" t="str">
        <f t="shared" ref="C57:C60" si="41">A57&amp;I57</f>
        <v>SM-A366NK베이직</v>
      </c>
      <c r="D57" s="125"/>
      <c r="E57" s="130" t="s">
        <v>229</v>
      </c>
      <c r="F57" s="213" t="str">
        <f>A57</f>
        <v>SM-A366NK</v>
      </c>
      <c r="G57" s="213" t="str">
        <f>VLOOKUP(F57,출고가!C:D,2,0)</f>
        <v>갤럭시 A36(5G)</v>
      </c>
      <c r="H57" s="131">
        <f>B57</f>
        <v>499400</v>
      </c>
      <c r="I57" s="169" t="s">
        <v>357</v>
      </c>
      <c r="J57" s="170" t="s">
        <v>1521</v>
      </c>
      <c r="K57" s="170">
        <v>550000</v>
      </c>
      <c r="L57" s="170">
        <v>550000</v>
      </c>
      <c r="M57" s="170">
        <v>550000</v>
      </c>
      <c r="N57" s="171">
        <f t="shared" ref="N57:N60" si="42">IF($N$8="0원",0,IF($N$8="5만",50000,IF($N$8="10만",100000,150000)))</f>
        <v>0</v>
      </c>
      <c r="O57" s="172">
        <f t="shared" ref="O57:Q192" si="43">IF(K57-$N57&gt;0,K57-$N57,0)</f>
        <v>550000</v>
      </c>
      <c r="P57" s="172">
        <f t="shared" si="43"/>
        <v>550000</v>
      </c>
      <c r="Q57" s="172">
        <f t="shared" si="43"/>
        <v>550000</v>
      </c>
      <c r="R57" s="173">
        <f t="shared" ref="R57:R60" si="44">IF($R$8=$O$8,O57,IF($R$8=$P$8,P57,Q57))</f>
        <v>550000</v>
      </c>
      <c r="S57" s="174">
        <f t="shared" ref="S57:S126" si="45">IF(B57-R57&gt;0,B57-R57,0)</f>
        <v>0</v>
      </c>
      <c r="T57" s="175">
        <f>ROUNDDOWN((S57/24*1.059)+(VLOOKUP(I57,구분자!$P:$Q,2,FALSE)*0.75),-3)</f>
        <v>60000</v>
      </c>
    </row>
    <row r="58" spans="1:23" s="2" customFormat="1" ht="25.05" customHeight="1">
      <c r="A58" s="115" t="s">
        <v>1541</v>
      </c>
      <c r="B58" s="120">
        <f>VLOOKUP($A58,출고가!$C:$E,3,FALSE)</f>
        <v>499400</v>
      </c>
      <c r="C58" s="120" t="str">
        <f t="shared" si="41"/>
        <v>SM-A366NK심플30G</v>
      </c>
      <c r="D58" s="125"/>
      <c r="E58" s="126"/>
      <c r="F58" s="208"/>
      <c r="G58" s="168"/>
      <c r="H58" s="127"/>
      <c r="I58" s="176" t="s">
        <v>988</v>
      </c>
      <c r="J58" s="177" t="s">
        <v>1522</v>
      </c>
      <c r="K58" s="178">
        <v>500000</v>
      </c>
      <c r="L58" s="178">
        <v>500000</v>
      </c>
      <c r="M58" s="178">
        <v>500000</v>
      </c>
      <c r="N58" s="179">
        <f t="shared" si="42"/>
        <v>0</v>
      </c>
      <c r="O58" s="178">
        <f t="shared" si="43"/>
        <v>500000</v>
      </c>
      <c r="P58" s="178">
        <f t="shared" si="43"/>
        <v>500000</v>
      </c>
      <c r="Q58" s="178">
        <f t="shared" si="43"/>
        <v>500000</v>
      </c>
      <c r="R58" s="180">
        <f t="shared" si="44"/>
        <v>500000</v>
      </c>
      <c r="S58" s="177">
        <f t="shared" si="45"/>
        <v>0</v>
      </c>
      <c r="T58" s="181">
        <f>ROUNDDOWN((S58/24*1.059)+(VLOOKUP(I58,구분자!$P:$Q,2,FALSE)*0.75),-3)</f>
        <v>45000</v>
      </c>
    </row>
    <row r="59" spans="1:23" s="2" customFormat="1" ht="25.05" customHeight="1">
      <c r="A59" s="115" t="s">
        <v>1541</v>
      </c>
      <c r="B59" s="120">
        <f>VLOOKUP($A59,출고가!$C:$E,3,FALSE)</f>
        <v>499400</v>
      </c>
      <c r="C59" s="120" t="str">
        <f t="shared" si="41"/>
        <v>SM-A366NK슬림10G</v>
      </c>
      <c r="D59" s="125"/>
      <c r="E59" s="126"/>
      <c r="F59" s="168"/>
      <c r="G59" s="168"/>
      <c r="H59" s="127"/>
      <c r="I59" s="176" t="s">
        <v>992</v>
      </c>
      <c r="J59" s="177" t="s">
        <v>1523</v>
      </c>
      <c r="K59" s="178">
        <v>450000</v>
      </c>
      <c r="L59" s="178">
        <v>450000</v>
      </c>
      <c r="M59" s="178">
        <v>450000</v>
      </c>
      <c r="N59" s="179">
        <f t="shared" si="42"/>
        <v>0</v>
      </c>
      <c r="O59" s="178">
        <f t="shared" si="43"/>
        <v>450000</v>
      </c>
      <c r="P59" s="178">
        <f t="shared" si="43"/>
        <v>450000</v>
      </c>
      <c r="Q59" s="178">
        <f t="shared" si="43"/>
        <v>450000</v>
      </c>
      <c r="R59" s="180">
        <f t="shared" si="44"/>
        <v>450000</v>
      </c>
      <c r="S59" s="177">
        <f t="shared" si="45"/>
        <v>49400</v>
      </c>
      <c r="T59" s="181">
        <f>ROUNDDOWN((S59/24*1.059)+(VLOOKUP(I59,구분자!$P:$Q,2,FALSE)*0.75),-3)</f>
        <v>39000</v>
      </c>
    </row>
    <row r="60" spans="1:23" s="2" customFormat="1" ht="25.05" customHeight="1">
      <c r="A60" s="115" t="s">
        <v>1541</v>
      </c>
      <c r="B60" s="120">
        <f>VLOOKUP($A60,출고가!$C:$E,3,FALSE)</f>
        <v>499400</v>
      </c>
      <c r="C60" s="120" t="str">
        <f t="shared" si="41"/>
        <v>SM-A366NK슬림4G</v>
      </c>
      <c r="D60" s="125"/>
      <c r="E60" s="128"/>
      <c r="F60" s="209"/>
      <c r="G60" s="168"/>
      <c r="H60" s="129"/>
      <c r="I60" s="182" t="s">
        <v>990</v>
      </c>
      <c r="J60" s="183" t="s">
        <v>1524</v>
      </c>
      <c r="K60" s="184">
        <v>350000</v>
      </c>
      <c r="L60" s="184">
        <v>350000</v>
      </c>
      <c r="M60" s="184">
        <v>350000</v>
      </c>
      <c r="N60" s="185">
        <f t="shared" si="42"/>
        <v>0</v>
      </c>
      <c r="O60" s="184">
        <f t="shared" si="43"/>
        <v>350000</v>
      </c>
      <c r="P60" s="184">
        <f t="shared" si="43"/>
        <v>350000</v>
      </c>
      <c r="Q60" s="184">
        <f t="shared" si="43"/>
        <v>350000</v>
      </c>
      <c r="R60" s="186">
        <f t="shared" si="44"/>
        <v>350000</v>
      </c>
      <c r="S60" s="183">
        <f t="shared" si="45"/>
        <v>149400</v>
      </c>
      <c r="T60" s="187">
        <f>ROUNDDOWN((S60/24*1.059)+(VLOOKUP(I60,구분자!$P:$Q,2,FALSE)*0.75),-3)</f>
        <v>34000</v>
      </c>
    </row>
    <row r="61" spans="1:23" s="2" customFormat="1" ht="25.05" customHeight="1">
      <c r="A61" s="115" t="s">
        <v>1540</v>
      </c>
      <c r="B61" s="120">
        <f>VLOOKUP($A61,출고가!$C:$E,3,FALSE)</f>
        <v>449900</v>
      </c>
      <c r="C61" s="120" t="str">
        <f t="shared" ref="C61:C185" si="46">A61&amp;I61</f>
        <v>SM-M366K베이직</v>
      </c>
      <c r="D61" s="125"/>
      <c r="E61" s="130" t="s">
        <v>229</v>
      </c>
      <c r="F61" s="213" t="str">
        <f>A61</f>
        <v>SM-M366K</v>
      </c>
      <c r="G61" s="213" t="str">
        <f>VLOOKUP(F61,출고가!C:D,2,0)</f>
        <v>Galaxy Jump4</v>
      </c>
      <c r="H61" s="131">
        <f>B61</f>
        <v>449900</v>
      </c>
      <c r="I61" s="169" t="s">
        <v>357</v>
      </c>
      <c r="J61" s="170" t="s">
        <v>1521</v>
      </c>
      <c r="K61" s="170">
        <v>580000</v>
      </c>
      <c r="L61" s="170">
        <v>580000</v>
      </c>
      <c r="M61" s="170">
        <v>580000</v>
      </c>
      <c r="N61" s="171">
        <f t="shared" ref="N61:N189" si="47">IF($N$8="0원",0,IF($N$8="5만",50000,IF($N$8="10만",100000,150000)))</f>
        <v>0</v>
      </c>
      <c r="O61" s="172">
        <f t="shared" si="43"/>
        <v>580000</v>
      </c>
      <c r="P61" s="172">
        <f t="shared" si="43"/>
        <v>580000</v>
      </c>
      <c r="Q61" s="172">
        <f t="shared" si="43"/>
        <v>580000</v>
      </c>
      <c r="R61" s="173">
        <f t="shared" ref="R61:R185" si="48">IF($R$8=$O$8,O61,IF($R$8=$P$8,P61,Q61))</f>
        <v>580000</v>
      </c>
      <c r="S61" s="174">
        <f t="shared" si="45"/>
        <v>0</v>
      </c>
      <c r="T61" s="175">
        <f>ROUNDDOWN((S61/24*1.059)+(VLOOKUP(I61,구분자!$P:$Q,2,FALSE)*0.75),-3)</f>
        <v>60000</v>
      </c>
    </row>
    <row r="62" spans="1:23" s="2" customFormat="1" ht="25.05" customHeight="1">
      <c r="A62" s="115" t="s">
        <v>1540</v>
      </c>
      <c r="B62" s="120">
        <f>VLOOKUP($A62,출고가!$C:$E,3,FALSE)</f>
        <v>449900</v>
      </c>
      <c r="C62" s="120" t="str">
        <f t="shared" si="46"/>
        <v>SM-M366K심플30G</v>
      </c>
      <c r="D62" s="125"/>
      <c r="E62" s="126"/>
      <c r="F62" s="208"/>
      <c r="G62" s="168"/>
      <c r="H62" s="127"/>
      <c r="I62" s="176" t="s">
        <v>988</v>
      </c>
      <c r="J62" s="177" t="s">
        <v>1522</v>
      </c>
      <c r="K62" s="178">
        <v>530000</v>
      </c>
      <c r="L62" s="178">
        <v>530000</v>
      </c>
      <c r="M62" s="178">
        <v>530000</v>
      </c>
      <c r="N62" s="179">
        <f t="shared" si="47"/>
        <v>0</v>
      </c>
      <c r="O62" s="178">
        <f t="shared" si="43"/>
        <v>530000</v>
      </c>
      <c r="P62" s="178">
        <f t="shared" si="43"/>
        <v>530000</v>
      </c>
      <c r="Q62" s="178">
        <f t="shared" si="43"/>
        <v>530000</v>
      </c>
      <c r="R62" s="180">
        <f t="shared" si="48"/>
        <v>530000</v>
      </c>
      <c r="S62" s="177">
        <f t="shared" si="45"/>
        <v>0</v>
      </c>
      <c r="T62" s="181">
        <f>ROUNDDOWN((S62/24*1.059)+(VLOOKUP(I62,구분자!$P:$Q,2,FALSE)*0.75),-3)</f>
        <v>45000</v>
      </c>
    </row>
    <row r="63" spans="1:23" s="2" customFormat="1" ht="25.05" customHeight="1">
      <c r="A63" s="115" t="s">
        <v>1540</v>
      </c>
      <c r="B63" s="120">
        <f>VLOOKUP($A63,출고가!$C:$E,3,FALSE)</f>
        <v>449900</v>
      </c>
      <c r="C63" s="120" t="str">
        <f t="shared" si="46"/>
        <v>SM-M366K슬림10G</v>
      </c>
      <c r="D63" s="125"/>
      <c r="E63" s="126"/>
      <c r="F63" s="208"/>
      <c r="G63" s="168"/>
      <c r="H63" s="127"/>
      <c r="I63" s="176" t="s">
        <v>992</v>
      </c>
      <c r="J63" s="177" t="s">
        <v>1523</v>
      </c>
      <c r="K63" s="178">
        <v>480000</v>
      </c>
      <c r="L63" s="178">
        <v>480000</v>
      </c>
      <c r="M63" s="178">
        <v>480000</v>
      </c>
      <c r="N63" s="179">
        <f t="shared" si="47"/>
        <v>0</v>
      </c>
      <c r="O63" s="178">
        <f t="shared" si="43"/>
        <v>480000</v>
      </c>
      <c r="P63" s="178">
        <f t="shared" si="43"/>
        <v>480000</v>
      </c>
      <c r="Q63" s="178">
        <f t="shared" si="43"/>
        <v>480000</v>
      </c>
      <c r="R63" s="180">
        <f t="shared" si="48"/>
        <v>480000</v>
      </c>
      <c r="S63" s="177">
        <f t="shared" si="45"/>
        <v>0</v>
      </c>
      <c r="T63" s="181">
        <f>ROUNDDOWN((S63/24*1.059)+(VLOOKUP(I63,구분자!$P:$Q,2,FALSE)*0.75),-3)</f>
        <v>37000</v>
      </c>
    </row>
    <row r="64" spans="1:23" s="2" customFormat="1" ht="25.05" customHeight="1">
      <c r="A64" s="115" t="s">
        <v>1540</v>
      </c>
      <c r="B64" s="120">
        <f>VLOOKUP($A64,출고가!$C:$E,3,FALSE)</f>
        <v>449900</v>
      </c>
      <c r="C64" s="120" t="str">
        <f t="shared" si="46"/>
        <v>SM-M366K슬림4G</v>
      </c>
      <c r="D64" s="125"/>
      <c r="E64" s="128"/>
      <c r="F64" s="209"/>
      <c r="G64" s="168"/>
      <c r="H64" s="129"/>
      <c r="I64" s="182" t="s">
        <v>990</v>
      </c>
      <c r="J64" s="183" t="s">
        <v>1524</v>
      </c>
      <c r="K64" s="184">
        <v>350000</v>
      </c>
      <c r="L64" s="184">
        <v>350000</v>
      </c>
      <c r="M64" s="184">
        <v>350000</v>
      </c>
      <c r="N64" s="185">
        <f t="shared" si="47"/>
        <v>0</v>
      </c>
      <c r="O64" s="184">
        <f t="shared" si="43"/>
        <v>350000</v>
      </c>
      <c r="P64" s="184">
        <f t="shared" si="43"/>
        <v>350000</v>
      </c>
      <c r="Q64" s="184">
        <f t="shared" si="43"/>
        <v>350000</v>
      </c>
      <c r="R64" s="186">
        <f t="shared" si="48"/>
        <v>350000</v>
      </c>
      <c r="S64" s="183">
        <f t="shared" si="45"/>
        <v>99900</v>
      </c>
      <c r="T64" s="187">
        <f>ROUNDDOWN((S64/24*1.059)+(VLOOKUP(I64,구분자!$P:$Q,2,FALSE)*0.75),-3)</f>
        <v>32000</v>
      </c>
    </row>
    <row r="65" spans="1:23" s="2" customFormat="1" ht="25.05" customHeight="1">
      <c r="A65" s="115" t="s">
        <v>1651</v>
      </c>
      <c r="B65" s="120">
        <f>VLOOKUP($A65,출고가!$C:$E,3,FALSE)</f>
        <v>319000</v>
      </c>
      <c r="C65" s="120" t="str">
        <f t="shared" ref="C65:C67" si="49">A65&amp;I65</f>
        <v>SM-A175NK데이터ON 프리미엄</v>
      </c>
      <c r="D65" s="125"/>
      <c r="E65" s="130" t="s">
        <v>193</v>
      </c>
      <c r="F65" s="213" t="str">
        <f>A65</f>
        <v>SM-A175NK</v>
      </c>
      <c r="G65" s="213" t="str">
        <f>VLOOKUP(F65,출고가!C:D,2,0)</f>
        <v>갤럭시 A17</v>
      </c>
      <c r="H65" s="131">
        <f>B65</f>
        <v>319000</v>
      </c>
      <c r="I65" s="188" t="s">
        <v>706</v>
      </c>
      <c r="J65" s="189" t="s">
        <v>1527</v>
      </c>
      <c r="K65" s="190">
        <v>300000</v>
      </c>
      <c r="L65" s="190">
        <v>300000</v>
      </c>
      <c r="M65" s="190">
        <v>300000</v>
      </c>
      <c r="N65" s="171">
        <f t="shared" si="47"/>
        <v>0</v>
      </c>
      <c r="O65" s="172">
        <f t="shared" ref="O65:O67" si="50">IF(K65-$N65&gt;0,K65-$N65,0)</f>
        <v>300000</v>
      </c>
      <c r="P65" s="172">
        <f t="shared" ref="P65:P67" si="51">IF(L65-$N65&gt;0,L65-$N65,0)</f>
        <v>300000</v>
      </c>
      <c r="Q65" s="172">
        <f t="shared" ref="Q65:Q67" si="52">IF(M65-$N65&gt;0,M65-$N65,0)</f>
        <v>300000</v>
      </c>
      <c r="R65" s="173">
        <f t="shared" ref="R65:R67" si="53">IF($R$8=$O$8,O65,IF($R$8=$P$8,P65,Q65))</f>
        <v>300000</v>
      </c>
      <c r="S65" s="174">
        <f t="shared" si="45"/>
        <v>19000</v>
      </c>
      <c r="T65" s="175">
        <f>ROUNDDOWN((S65/24*1.059)+(VLOOKUP(I65,구분자!$P:$Q,2,FALSE)*0.75),-3)</f>
        <v>52000</v>
      </c>
    </row>
    <row r="66" spans="1:23" s="2" customFormat="1" ht="25.05" hidden="1" customHeight="1">
      <c r="A66" s="115" t="s">
        <v>1479</v>
      </c>
      <c r="B66" s="120">
        <f>VLOOKUP($A66,출고가!$C:$E,3,FALSE)</f>
        <v>319000</v>
      </c>
      <c r="C66" s="120" t="str">
        <f t="shared" si="49"/>
        <v>SM-A165NK</v>
      </c>
      <c r="D66" s="125"/>
      <c r="E66" s="126"/>
      <c r="F66" s="236"/>
      <c r="G66" s="211"/>
      <c r="H66" s="127"/>
      <c r="I66" s="176"/>
      <c r="J66" s="181"/>
      <c r="K66" s="178"/>
      <c r="L66" s="178"/>
      <c r="M66" s="178"/>
      <c r="N66" s="179">
        <f t="shared" si="47"/>
        <v>0</v>
      </c>
      <c r="O66" s="178">
        <f t="shared" si="50"/>
        <v>0</v>
      </c>
      <c r="P66" s="178">
        <f t="shared" si="51"/>
        <v>0</v>
      </c>
      <c r="Q66" s="178">
        <f t="shared" si="52"/>
        <v>0</v>
      </c>
      <c r="R66" s="180">
        <f t="shared" si="53"/>
        <v>0</v>
      </c>
      <c r="S66" s="177">
        <f t="shared" si="45"/>
        <v>319000</v>
      </c>
      <c r="T66" s="181" t="e">
        <f>ROUNDDOWN((S66/24*1.059)+(VLOOKUP(I66,구분자!$P:$Q,2,FALSE)*0.75),-3)</f>
        <v>#N/A</v>
      </c>
    </row>
    <row r="67" spans="1:23" s="2" customFormat="1" ht="25.05" customHeight="1">
      <c r="A67" s="115" t="s">
        <v>1651</v>
      </c>
      <c r="B67" s="120">
        <f>VLOOKUP($A67,출고가!$C:$E,3,FALSE)</f>
        <v>319000</v>
      </c>
      <c r="C67" s="120" t="str">
        <f t="shared" si="49"/>
        <v>SM-A175NKLTE베이직</v>
      </c>
      <c r="D67" s="125"/>
      <c r="E67" s="128"/>
      <c r="F67" s="212"/>
      <c r="G67" s="211"/>
      <c r="H67" s="129"/>
      <c r="I67" s="182" t="s">
        <v>707</v>
      </c>
      <c r="J67" s="183" t="s">
        <v>1528</v>
      </c>
      <c r="K67" s="184">
        <v>250000</v>
      </c>
      <c r="L67" s="184">
        <v>250000</v>
      </c>
      <c r="M67" s="184">
        <v>250000</v>
      </c>
      <c r="N67" s="185">
        <f t="shared" si="47"/>
        <v>0</v>
      </c>
      <c r="O67" s="184">
        <f t="shared" si="50"/>
        <v>250000</v>
      </c>
      <c r="P67" s="184">
        <f t="shared" si="51"/>
        <v>250000</v>
      </c>
      <c r="Q67" s="184">
        <f t="shared" si="52"/>
        <v>250000</v>
      </c>
      <c r="R67" s="186">
        <f t="shared" si="53"/>
        <v>250000</v>
      </c>
      <c r="S67" s="183">
        <f t="shared" si="45"/>
        <v>69000</v>
      </c>
      <c r="T67" s="187">
        <f>ROUNDDOWN((S67/24*1.059)+(VLOOKUP(I67,구분자!$P:$Q,2,FALSE)*0.75),-3)</f>
        <v>27000</v>
      </c>
    </row>
    <row r="68" spans="1:23" s="2" customFormat="1" ht="25.05" customHeight="1">
      <c r="A68" s="115" t="s">
        <v>1484</v>
      </c>
      <c r="B68" s="120">
        <f>VLOOKUP($A68,출고가!$C:$E,3,FALSE)</f>
        <v>319000</v>
      </c>
      <c r="C68" s="120" t="str">
        <f t="shared" si="46"/>
        <v>SM-A165NK데이터ON 프리미엄</v>
      </c>
      <c r="D68" s="125"/>
      <c r="E68" s="130" t="s">
        <v>193</v>
      </c>
      <c r="F68" s="213" t="str">
        <f>A68</f>
        <v>SM-A165NK</v>
      </c>
      <c r="G68" s="213" t="str">
        <f>VLOOKUP(F68,출고가!C:D,2,0)</f>
        <v>갤럭시 A16</v>
      </c>
      <c r="H68" s="131">
        <f>B68</f>
        <v>319000</v>
      </c>
      <c r="I68" s="188" t="s">
        <v>706</v>
      </c>
      <c r="J68" s="189" t="s">
        <v>1527</v>
      </c>
      <c r="K68" s="190">
        <v>300000</v>
      </c>
      <c r="L68" s="190">
        <v>300000</v>
      </c>
      <c r="M68" s="190">
        <v>300000</v>
      </c>
      <c r="N68" s="171">
        <f t="shared" si="47"/>
        <v>0</v>
      </c>
      <c r="O68" s="172">
        <f t="shared" si="43"/>
        <v>300000</v>
      </c>
      <c r="P68" s="172">
        <f t="shared" si="43"/>
        <v>300000</v>
      </c>
      <c r="Q68" s="172">
        <f t="shared" si="43"/>
        <v>300000</v>
      </c>
      <c r="R68" s="173">
        <f t="shared" si="48"/>
        <v>300000</v>
      </c>
      <c r="S68" s="174">
        <f t="shared" ref="S68:S70" si="54">IF(B68-R68&gt;0,B68-R68,0)</f>
        <v>19000</v>
      </c>
      <c r="T68" s="175">
        <f>ROUNDDOWN((S68/24*1.059)+(VLOOKUP(I68,구분자!$P:$Q,2,FALSE)*0.75),-3)</f>
        <v>52000</v>
      </c>
    </row>
    <row r="69" spans="1:23" s="2" customFormat="1" ht="25.05" hidden="1" customHeight="1">
      <c r="A69" s="115" t="s">
        <v>1484</v>
      </c>
      <c r="B69" s="120">
        <f>VLOOKUP($A69,출고가!$C:$E,3,FALSE)</f>
        <v>319000</v>
      </c>
      <c r="C69" s="120" t="str">
        <f t="shared" si="46"/>
        <v>SM-A165NK</v>
      </c>
      <c r="D69" s="125"/>
      <c r="E69" s="126"/>
      <c r="F69" s="236"/>
      <c r="G69" s="211"/>
      <c r="H69" s="127"/>
      <c r="I69" s="176"/>
      <c r="J69" s="181"/>
      <c r="K69" s="178"/>
      <c r="L69" s="178"/>
      <c r="M69" s="178"/>
      <c r="N69" s="179">
        <f t="shared" si="47"/>
        <v>0</v>
      </c>
      <c r="O69" s="178">
        <f t="shared" si="43"/>
        <v>0</v>
      </c>
      <c r="P69" s="178">
        <f t="shared" si="43"/>
        <v>0</v>
      </c>
      <c r="Q69" s="178">
        <f t="shared" si="43"/>
        <v>0</v>
      </c>
      <c r="R69" s="180">
        <f t="shared" si="48"/>
        <v>0</v>
      </c>
      <c r="S69" s="177">
        <f t="shared" si="54"/>
        <v>319000</v>
      </c>
      <c r="T69" s="181" t="e">
        <f>ROUNDDOWN((S69/24*1.059)+(VLOOKUP(I69,구분자!$P:$Q,2,FALSE)*0.75),-3)</f>
        <v>#N/A</v>
      </c>
    </row>
    <row r="70" spans="1:23" s="2" customFormat="1" ht="25.05" customHeight="1">
      <c r="A70" s="115" t="s">
        <v>1484</v>
      </c>
      <c r="B70" s="120">
        <f>VLOOKUP($A70,출고가!$C:$E,3,FALSE)</f>
        <v>319000</v>
      </c>
      <c r="C70" s="120" t="str">
        <f t="shared" si="46"/>
        <v>SM-A165NKLTE베이직</v>
      </c>
      <c r="D70" s="125"/>
      <c r="E70" s="128"/>
      <c r="F70" s="212"/>
      <c r="G70" s="211"/>
      <c r="H70" s="129"/>
      <c r="I70" s="182" t="s">
        <v>707</v>
      </c>
      <c r="J70" s="183" t="s">
        <v>1528</v>
      </c>
      <c r="K70" s="184">
        <v>250000</v>
      </c>
      <c r="L70" s="184">
        <v>250000</v>
      </c>
      <c r="M70" s="184">
        <v>250000</v>
      </c>
      <c r="N70" s="185">
        <f t="shared" si="47"/>
        <v>0</v>
      </c>
      <c r="O70" s="184">
        <f t="shared" si="43"/>
        <v>250000</v>
      </c>
      <c r="P70" s="184">
        <f t="shared" si="43"/>
        <v>250000</v>
      </c>
      <c r="Q70" s="184">
        <f t="shared" si="43"/>
        <v>250000</v>
      </c>
      <c r="R70" s="186">
        <f t="shared" si="48"/>
        <v>250000</v>
      </c>
      <c r="S70" s="183">
        <f t="shared" si="54"/>
        <v>69000</v>
      </c>
      <c r="T70" s="187">
        <f>ROUNDDOWN((S70/24*1.059)+(VLOOKUP(I70,구분자!$P:$Q,2,FALSE)*0.75),-3)</f>
        <v>27000</v>
      </c>
    </row>
    <row r="71" spans="1:23" s="2" customFormat="1" ht="25.05" customHeight="1">
      <c r="A71" s="115" t="s">
        <v>1484</v>
      </c>
      <c r="B71" s="120">
        <f>VLOOKUP($A71,출고가!$C:$E,3,FALSE)</f>
        <v>319000</v>
      </c>
      <c r="C71" s="120" t="str">
        <f t="shared" ref="C71:C117" si="55">A71&amp;I71</f>
        <v>SM-A165NK데이터ON 프리미엄</v>
      </c>
      <c r="D71" s="125"/>
      <c r="E71" s="130" t="s">
        <v>193</v>
      </c>
      <c r="F71" s="213"/>
      <c r="G71" s="213" t="s">
        <v>1625</v>
      </c>
      <c r="H71" s="131"/>
      <c r="I71" s="188" t="s">
        <v>706</v>
      </c>
      <c r="J71" s="189" t="s">
        <v>1527</v>
      </c>
      <c r="K71" s="190">
        <v>250000</v>
      </c>
      <c r="L71" s="190">
        <v>250000</v>
      </c>
      <c r="M71" s="190">
        <v>250000</v>
      </c>
      <c r="N71" s="171">
        <f t="shared" si="47"/>
        <v>0</v>
      </c>
      <c r="O71" s="172">
        <f t="shared" ref="O71:O117" si="56">IF(K71-$N71&gt;0,K71-$N71,0)</f>
        <v>250000</v>
      </c>
      <c r="P71" s="172">
        <f t="shared" ref="P71:P117" si="57">IF(L71-$N71&gt;0,L71-$N71,0)</f>
        <v>250000</v>
      </c>
      <c r="Q71" s="172">
        <f t="shared" ref="Q71:Q117" si="58">IF(M71-$N71&gt;0,M71-$N71,0)</f>
        <v>250000</v>
      </c>
      <c r="R71" s="173">
        <f t="shared" ref="R71:R117" si="59">IF($R$8=$O$8,O71,IF($R$8=$P$8,P71,Q71))</f>
        <v>250000</v>
      </c>
      <c r="S71" s="174">
        <f t="shared" si="45"/>
        <v>69000</v>
      </c>
      <c r="T71" s="175">
        <f>ROUNDDOWN((S71/24*1.059)+(VLOOKUP(I71,구분자!$P:$Q,2,FALSE)*0.75),-3)</f>
        <v>54000</v>
      </c>
    </row>
    <row r="72" spans="1:23" s="2" customFormat="1" ht="25.05" hidden="1" customHeight="1">
      <c r="A72" s="115" t="s">
        <v>1484</v>
      </c>
      <c r="B72" s="120">
        <f>VLOOKUP($A72,출고가!$C:$E,3,FALSE)</f>
        <v>319000</v>
      </c>
      <c r="C72" s="120" t="str">
        <f t="shared" si="55"/>
        <v>SM-A165NK</v>
      </c>
      <c r="D72" s="125"/>
      <c r="E72" s="126"/>
      <c r="F72" s="236"/>
      <c r="G72" s="211"/>
      <c r="H72" s="127"/>
      <c r="I72" s="176"/>
      <c r="J72" s="181"/>
      <c r="K72" s="178"/>
      <c r="L72" s="178"/>
      <c r="M72" s="178"/>
      <c r="N72" s="179">
        <f t="shared" si="47"/>
        <v>0</v>
      </c>
      <c r="O72" s="178">
        <f t="shared" si="56"/>
        <v>0</v>
      </c>
      <c r="P72" s="178">
        <f t="shared" si="57"/>
        <v>0</v>
      </c>
      <c r="Q72" s="178">
        <f t="shared" si="58"/>
        <v>0</v>
      </c>
      <c r="R72" s="180">
        <f t="shared" si="59"/>
        <v>0</v>
      </c>
      <c r="S72" s="177">
        <f t="shared" si="45"/>
        <v>319000</v>
      </c>
      <c r="T72" s="181" t="e">
        <f>ROUNDDOWN((S72/24*1.059)+(VLOOKUP(I72,구분자!$P:$Q,2,FALSE)*0.75),-3)</f>
        <v>#N/A</v>
      </c>
    </row>
    <row r="73" spans="1:23" s="2" customFormat="1" ht="25.05" customHeight="1">
      <c r="A73" s="115" t="s">
        <v>1484</v>
      </c>
      <c r="B73" s="120">
        <f>VLOOKUP($A73,출고가!$C:$E,3,FALSE)</f>
        <v>319000</v>
      </c>
      <c r="C73" s="120" t="str">
        <f t="shared" si="55"/>
        <v>SM-A165NKLTE베이직</v>
      </c>
      <c r="D73" s="125"/>
      <c r="E73" s="128"/>
      <c r="F73" s="212"/>
      <c r="G73" s="211"/>
      <c r="H73" s="129"/>
      <c r="I73" s="182" t="s">
        <v>707</v>
      </c>
      <c r="J73" s="183" t="s">
        <v>1528</v>
      </c>
      <c r="K73" s="184">
        <v>200000</v>
      </c>
      <c r="L73" s="184">
        <v>200000</v>
      </c>
      <c r="M73" s="184">
        <v>200000</v>
      </c>
      <c r="N73" s="185">
        <f t="shared" si="47"/>
        <v>0</v>
      </c>
      <c r="O73" s="184">
        <f t="shared" si="56"/>
        <v>200000</v>
      </c>
      <c r="P73" s="184">
        <f t="shared" si="57"/>
        <v>200000</v>
      </c>
      <c r="Q73" s="184">
        <f t="shared" si="58"/>
        <v>200000</v>
      </c>
      <c r="R73" s="186">
        <f t="shared" si="59"/>
        <v>200000</v>
      </c>
      <c r="S73" s="183">
        <f t="shared" si="45"/>
        <v>119000</v>
      </c>
      <c r="T73" s="187">
        <f>ROUNDDOWN((S73/24*1.059)+(VLOOKUP(I73,구분자!$P:$Q,2,FALSE)*0.75),-3)</f>
        <v>30000</v>
      </c>
    </row>
    <row r="74" spans="1:23" s="2" customFormat="1" ht="25.05" customHeight="1">
      <c r="A74" s="115" t="s">
        <v>1579</v>
      </c>
      <c r="B74" s="120">
        <f>VLOOKUP($A74,출고가!$C:$E,3,FALSE)</f>
        <v>1287000</v>
      </c>
      <c r="C74" s="120" t="str">
        <f t="shared" si="55"/>
        <v>AIP17-256베이직</v>
      </c>
      <c r="D74" s="121" t="s">
        <v>315</v>
      </c>
      <c r="E74" s="130" t="s">
        <v>229</v>
      </c>
      <c r="F74" s="213" t="str">
        <f>A74</f>
        <v>AIP17-256</v>
      </c>
      <c r="G74" s="213" t="str">
        <f>VLOOKUP(F74,출고가!C:D,2,0)</f>
        <v>iPhone 17 256GB</v>
      </c>
      <c r="H74" s="131">
        <f>B74</f>
        <v>1287000</v>
      </c>
      <c r="I74" s="169" t="s">
        <v>357</v>
      </c>
      <c r="J74" s="170" t="s">
        <v>1521</v>
      </c>
      <c r="K74" s="190">
        <v>420000</v>
      </c>
      <c r="L74" s="190">
        <v>420000</v>
      </c>
      <c r="M74" s="190">
        <v>420000</v>
      </c>
      <c r="N74" s="171">
        <f t="shared" si="47"/>
        <v>0</v>
      </c>
      <c r="O74" s="172">
        <f t="shared" si="56"/>
        <v>420000</v>
      </c>
      <c r="P74" s="172">
        <f t="shared" si="57"/>
        <v>420000</v>
      </c>
      <c r="Q74" s="172">
        <f t="shared" si="58"/>
        <v>420000</v>
      </c>
      <c r="R74" s="173">
        <f t="shared" ref="R74:R105" si="60">IF($R$5=$O$5,O74,IF($R$5=$P$5,P74,Q74))</f>
        <v>420000</v>
      </c>
      <c r="S74" s="174">
        <f t="shared" si="45"/>
        <v>867000</v>
      </c>
      <c r="T74" s="175">
        <f>ROUNDDOWN((S74/24*1.059)+(VLOOKUP(I74,[2]구분자!$P:$Q,2,FALSE)*0.75),-3)</f>
        <v>98000</v>
      </c>
      <c r="W74" s="124"/>
    </row>
    <row r="75" spans="1:23" s="2" customFormat="1" ht="25.05" customHeight="1">
      <c r="A75" s="115" t="s">
        <v>1579</v>
      </c>
      <c r="B75" s="120">
        <f>VLOOKUP($A75,출고가!$C:$E,3,FALSE)</f>
        <v>1287000</v>
      </c>
      <c r="C75" s="120" t="str">
        <f t="shared" si="55"/>
        <v>AIP17-256심플30G</v>
      </c>
      <c r="D75" s="125"/>
      <c r="E75" s="126"/>
      <c r="F75" s="208"/>
      <c r="G75" s="168"/>
      <c r="H75" s="127"/>
      <c r="I75" s="176" t="s">
        <v>988</v>
      </c>
      <c r="J75" s="177" t="s">
        <v>1615</v>
      </c>
      <c r="K75" s="178">
        <v>350000</v>
      </c>
      <c r="L75" s="178">
        <v>350000</v>
      </c>
      <c r="M75" s="178">
        <v>350000</v>
      </c>
      <c r="N75" s="179">
        <f t="shared" si="47"/>
        <v>0</v>
      </c>
      <c r="O75" s="178">
        <f t="shared" si="56"/>
        <v>350000</v>
      </c>
      <c r="P75" s="178">
        <f t="shared" si="57"/>
        <v>350000</v>
      </c>
      <c r="Q75" s="178">
        <f t="shared" si="58"/>
        <v>350000</v>
      </c>
      <c r="R75" s="180">
        <f t="shared" si="60"/>
        <v>350000</v>
      </c>
      <c r="S75" s="177">
        <f t="shared" si="45"/>
        <v>937000</v>
      </c>
      <c r="T75" s="181">
        <f>ROUNDDOWN((S75/24*1.059)+(VLOOKUP(I75,[2]구분자!$P:$Q,2,FALSE)*0.75),-3)</f>
        <v>87000</v>
      </c>
      <c r="W75" s="124"/>
    </row>
    <row r="76" spans="1:23" s="2" customFormat="1" ht="25.05" customHeight="1">
      <c r="A76" s="115" t="s">
        <v>1579</v>
      </c>
      <c r="B76" s="120">
        <f>VLOOKUP($A76,출고가!$C:$E,3,FALSE)</f>
        <v>1287000</v>
      </c>
      <c r="C76" s="120" t="str">
        <f t="shared" si="55"/>
        <v>AIP17-256슬림10G</v>
      </c>
      <c r="D76" s="125"/>
      <c r="E76" s="126"/>
      <c r="F76" s="208"/>
      <c r="G76" s="168"/>
      <c r="H76" s="127"/>
      <c r="I76" s="176" t="s">
        <v>992</v>
      </c>
      <c r="J76" s="177" t="s">
        <v>1523</v>
      </c>
      <c r="K76" s="178">
        <v>280000</v>
      </c>
      <c r="L76" s="178">
        <v>280000</v>
      </c>
      <c r="M76" s="178">
        <v>280000</v>
      </c>
      <c r="N76" s="179">
        <f t="shared" si="47"/>
        <v>0</v>
      </c>
      <c r="O76" s="178">
        <f t="shared" si="56"/>
        <v>280000</v>
      </c>
      <c r="P76" s="178">
        <f t="shared" si="57"/>
        <v>280000</v>
      </c>
      <c r="Q76" s="178">
        <f t="shared" si="58"/>
        <v>280000</v>
      </c>
      <c r="R76" s="180">
        <f t="shared" si="60"/>
        <v>280000</v>
      </c>
      <c r="S76" s="177">
        <f t="shared" si="45"/>
        <v>1007000</v>
      </c>
      <c r="T76" s="181">
        <f>ROUNDDOWN((S76/24*1.059)+(VLOOKUP(I76,[2]구분자!$P:$Q,2,FALSE)*0.75),-3)</f>
        <v>81000</v>
      </c>
      <c r="W76" s="124"/>
    </row>
    <row r="77" spans="1:23" s="2" customFormat="1" ht="24" customHeight="1">
      <c r="A77" s="115" t="s">
        <v>1579</v>
      </c>
      <c r="B77" s="120">
        <f>VLOOKUP($A77,출고가!$C:$E,3,FALSE)</f>
        <v>1287000</v>
      </c>
      <c r="C77" s="120" t="str">
        <f t="shared" si="55"/>
        <v>AIP17-256슬림4G</v>
      </c>
      <c r="D77" s="125"/>
      <c r="E77" s="128"/>
      <c r="F77" s="209"/>
      <c r="G77" s="209"/>
      <c r="H77" s="129"/>
      <c r="I77" s="182" t="s">
        <v>990</v>
      </c>
      <c r="J77" s="183" t="s">
        <v>1524</v>
      </c>
      <c r="K77" s="184">
        <v>230000</v>
      </c>
      <c r="L77" s="184">
        <v>230000</v>
      </c>
      <c r="M77" s="184">
        <v>230000</v>
      </c>
      <c r="N77" s="185">
        <f t="shared" si="47"/>
        <v>0</v>
      </c>
      <c r="O77" s="184">
        <f t="shared" si="56"/>
        <v>230000</v>
      </c>
      <c r="P77" s="184">
        <f t="shared" si="57"/>
        <v>230000</v>
      </c>
      <c r="Q77" s="184">
        <f t="shared" si="58"/>
        <v>230000</v>
      </c>
      <c r="R77" s="186">
        <f t="shared" si="60"/>
        <v>230000</v>
      </c>
      <c r="S77" s="183">
        <f t="shared" si="45"/>
        <v>1057000</v>
      </c>
      <c r="T77" s="187">
        <f>ROUNDDOWN((S77/24*1.059)+(VLOOKUP(I77,[2]구분자!$P:$Q,2,FALSE)*0.75),-3)</f>
        <v>74000</v>
      </c>
      <c r="W77" s="124"/>
    </row>
    <row r="78" spans="1:23" s="2" customFormat="1" ht="25.05" customHeight="1">
      <c r="A78" s="115" t="s">
        <v>1581</v>
      </c>
      <c r="B78" s="120">
        <f>VLOOKUP($A78,출고가!$C:$E,3,FALSE)</f>
        <v>1584000</v>
      </c>
      <c r="C78" s="120" t="str">
        <f t="shared" si="55"/>
        <v>AIP17-512베이직</v>
      </c>
      <c r="D78" s="125"/>
      <c r="E78" s="130" t="s">
        <v>229</v>
      </c>
      <c r="F78" s="213" t="str">
        <f>A78</f>
        <v>AIP17-512</v>
      </c>
      <c r="G78" s="213" t="str">
        <f>VLOOKUP(F78,출고가!C:D,2,0)</f>
        <v>iPhone 17 512GB</v>
      </c>
      <c r="H78" s="131">
        <f>B78</f>
        <v>1584000</v>
      </c>
      <c r="I78" s="169" t="s">
        <v>357</v>
      </c>
      <c r="J78" s="170" t="s">
        <v>1521</v>
      </c>
      <c r="K78" s="190">
        <v>420000</v>
      </c>
      <c r="L78" s="190">
        <v>420000</v>
      </c>
      <c r="M78" s="190">
        <v>420000</v>
      </c>
      <c r="N78" s="171">
        <f t="shared" si="47"/>
        <v>0</v>
      </c>
      <c r="O78" s="172">
        <f t="shared" si="56"/>
        <v>420000</v>
      </c>
      <c r="P78" s="172">
        <f t="shared" si="57"/>
        <v>420000</v>
      </c>
      <c r="Q78" s="172">
        <f t="shared" si="58"/>
        <v>420000</v>
      </c>
      <c r="R78" s="173">
        <f t="shared" si="60"/>
        <v>420000</v>
      </c>
      <c r="S78" s="174">
        <f t="shared" si="45"/>
        <v>1164000</v>
      </c>
      <c r="T78" s="175">
        <f>ROUNDDOWN((S78/24*1.059)+(VLOOKUP(I78,[2]구분자!$P:$Q,2,FALSE)*0.75),-3)</f>
        <v>111000</v>
      </c>
      <c r="W78" s="124"/>
    </row>
    <row r="79" spans="1:23" s="2" customFormat="1" ht="25.05" customHeight="1">
      <c r="A79" s="115" t="s">
        <v>1581</v>
      </c>
      <c r="B79" s="120">
        <f>VLOOKUP($A79,출고가!$C:$E,3,FALSE)</f>
        <v>1584000</v>
      </c>
      <c r="C79" s="120" t="str">
        <f t="shared" si="55"/>
        <v>AIP17-512심플30G</v>
      </c>
      <c r="D79" s="125"/>
      <c r="E79" s="126"/>
      <c r="F79" s="211"/>
      <c r="G79" s="211"/>
      <c r="H79" s="127"/>
      <c r="I79" s="176" t="s">
        <v>988</v>
      </c>
      <c r="J79" s="177" t="s">
        <v>1615</v>
      </c>
      <c r="K79" s="178">
        <v>350000</v>
      </c>
      <c r="L79" s="178">
        <v>350000</v>
      </c>
      <c r="M79" s="178">
        <v>350000</v>
      </c>
      <c r="N79" s="179">
        <f t="shared" si="47"/>
        <v>0</v>
      </c>
      <c r="O79" s="178">
        <f t="shared" si="56"/>
        <v>350000</v>
      </c>
      <c r="P79" s="178">
        <f t="shared" si="57"/>
        <v>350000</v>
      </c>
      <c r="Q79" s="178">
        <f t="shared" si="58"/>
        <v>350000</v>
      </c>
      <c r="R79" s="180">
        <f t="shared" si="60"/>
        <v>350000</v>
      </c>
      <c r="S79" s="177">
        <f t="shared" si="45"/>
        <v>1234000</v>
      </c>
      <c r="T79" s="181">
        <f>ROUNDDOWN((S79/24*1.059)+(VLOOKUP(I79,[2]구분자!$P:$Q,2,FALSE)*0.75),-3)</f>
        <v>100000</v>
      </c>
      <c r="W79" s="124"/>
    </row>
    <row r="80" spans="1:23" s="2" customFormat="1" ht="25.05" customHeight="1">
      <c r="A80" s="115" t="s">
        <v>1581</v>
      </c>
      <c r="B80" s="120">
        <f>VLOOKUP($A80,출고가!$C:$E,3,FALSE)</f>
        <v>1584000</v>
      </c>
      <c r="C80" s="120" t="str">
        <f t="shared" si="55"/>
        <v>AIP17-512슬림10G</v>
      </c>
      <c r="D80" s="125"/>
      <c r="E80" s="126"/>
      <c r="F80" s="211"/>
      <c r="G80" s="211"/>
      <c r="H80" s="127"/>
      <c r="I80" s="176" t="s">
        <v>992</v>
      </c>
      <c r="J80" s="177" t="s">
        <v>1523</v>
      </c>
      <c r="K80" s="178">
        <v>280000</v>
      </c>
      <c r="L80" s="178">
        <v>280000</v>
      </c>
      <c r="M80" s="178">
        <v>280000</v>
      </c>
      <c r="N80" s="179">
        <f t="shared" si="47"/>
        <v>0</v>
      </c>
      <c r="O80" s="178">
        <f t="shared" si="56"/>
        <v>280000</v>
      </c>
      <c r="P80" s="178">
        <f t="shared" si="57"/>
        <v>280000</v>
      </c>
      <c r="Q80" s="178">
        <f t="shared" si="58"/>
        <v>280000</v>
      </c>
      <c r="R80" s="180">
        <f t="shared" si="60"/>
        <v>280000</v>
      </c>
      <c r="S80" s="177">
        <f t="shared" si="45"/>
        <v>1304000</v>
      </c>
      <c r="T80" s="181">
        <f>ROUNDDOWN((S80/24*1.059)+(VLOOKUP(I80,[2]구분자!$P:$Q,2,FALSE)*0.75),-3)</f>
        <v>95000</v>
      </c>
      <c r="W80" s="124"/>
    </row>
    <row r="81" spans="1:23" s="2" customFormat="1" ht="25.05" customHeight="1">
      <c r="A81" s="115" t="s">
        <v>1581</v>
      </c>
      <c r="B81" s="120">
        <f>VLOOKUP($A81,출고가!$C:$E,3,FALSE)</f>
        <v>1584000</v>
      </c>
      <c r="C81" s="120" t="str">
        <f t="shared" si="55"/>
        <v>AIP17-512슬림4G</v>
      </c>
      <c r="D81" s="125"/>
      <c r="E81" s="128"/>
      <c r="F81" s="212"/>
      <c r="G81" s="212"/>
      <c r="H81" s="129"/>
      <c r="I81" s="182" t="s">
        <v>990</v>
      </c>
      <c r="J81" s="183" t="s">
        <v>1524</v>
      </c>
      <c r="K81" s="184">
        <v>230000</v>
      </c>
      <c r="L81" s="184">
        <v>230000</v>
      </c>
      <c r="M81" s="184">
        <v>230000</v>
      </c>
      <c r="N81" s="185">
        <f t="shared" si="47"/>
        <v>0</v>
      </c>
      <c r="O81" s="184">
        <f t="shared" si="56"/>
        <v>230000</v>
      </c>
      <c r="P81" s="184">
        <f t="shared" si="57"/>
        <v>230000</v>
      </c>
      <c r="Q81" s="184">
        <f t="shared" si="58"/>
        <v>230000</v>
      </c>
      <c r="R81" s="186">
        <f t="shared" si="60"/>
        <v>230000</v>
      </c>
      <c r="S81" s="183">
        <f t="shared" si="45"/>
        <v>1354000</v>
      </c>
      <c r="T81" s="187">
        <f>ROUNDDOWN((S81/24*1.059)+(VLOOKUP(I81,[2]구분자!$P:$Q,2,FALSE)*0.75),-3)</f>
        <v>87000</v>
      </c>
      <c r="W81" s="124"/>
    </row>
    <row r="82" spans="1:23" s="2" customFormat="1" ht="25.05" customHeight="1">
      <c r="A82" s="115" t="s">
        <v>1583</v>
      </c>
      <c r="B82" s="120">
        <f>VLOOKUP($A82,출고가!$C:$E,3,FALSE)</f>
        <v>1584000</v>
      </c>
      <c r="C82" s="120" t="str">
        <f t="shared" si="55"/>
        <v>AIPA-256베이직</v>
      </c>
      <c r="D82" s="125"/>
      <c r="E82" s="130" t="s">
        <v>229</v>
      </c>
      <c r="F82" s="213" t="str">
        <f>A82</f>
        <v>AIPA-256</v>
      </c>
      <c r="G82" s="213" t="str">
        <f>VLOOKUP(F82,출고가!C:D,2,0)</f>
        <v>iPhone Air 256GB</v>
      </c>
      <c r="H82" s="131">
        <f>B82</f>
        <v>1584000</v>
      </c>
      <c r="I82" s="169" t="s">
        <v>357</v>
      </c>
      <c r="J82" s="170" t="s">
        <v>1521</v>
      </c>
      <c r="K82" s="190">
        <v>420000</v>
      </c>
      <c r="L82" s="190">
        <v>420000</v>
      </c>
      <c r="M82" s="190">
        <v>420000</v>
      </c>
      <c r="N82" s="171">
        <f t="shared" si="47"/>
        <v>0</v>
      </c>
      <c r="O82" s="172">
        <f t="shared" si="56"/>
        <v>420000</v>
      </c>
      <c r="P82" s="172">
        <f t="shared" si="57"/>
        <v>420000</v>
      </c>
      <c r="Q82" s="172">
        <f t="shared" si="58"/>
        <v>420000</v>
      </c>
      <c r="R82" s="173">
        <f t="shared" si="60"/>
        <v>420000</v>
      </c>
      <c r="S82" s="174">
        <f t="shared" si="45"/>
        <v>1164000</v>
      </c>
      <c r="T82" s="175">
        <f>ROUNDDOWN((S82/24*1.059)+(VLOOKUP(I82,[2]구분자!$P:$Q,2,FALSE)*0.75),-3)</f>
        <v>111000</v>
      </c>
      <c r="W82" s="124"/>
    </row>
    <row r="83" spans="1:23" s="2" customFormat="1" ht="25.05" customHeight="1">
      <c r="A83" s="115" t="s">
        <v>1583</v>
      </c>
      <c r="B83" s="120">
        <f>VLOOKUP($A83,출고가!$C:$E,3,FALSE)</f>
        <v>1584000</v>
      </c>
      <c r="C83" s="120" t="str">
        <f t="shared" si="55"/>
        <v>AIPA-256심플30G</v>
      </c>
      <c r="D83" s="125"/>
      <c r="E83" s="126"/>
      <c r="F83" s="211"/>
      <c r="G83" s="211"/>
      <c r="H83" s="127"/>
      <c r="I83" s="176" t="s">
        <v>988</v>
      </c>
      <c r="J83" s="177" t="s">
        <v>1615</v>
      </c>
      <c r="K83" s="178">
        <v>350000</v>
      </c>
      <c r="L83" s="178">
        <v>350000</v>
      </c>
      <c r="M83" s="178">
        <v>350000</v>
      </c>
      <c r="N83" s="179">
        <f t="shared" si="47"/>
        <v>0</v>
      </c>
      <c r="O83" s="178">
        <f t="shared" si="56"/>
        <v>350000</v>
      </c>
      <c r="P83" s="178">
        <f t="shared" si="57"/>
        <v>350000</v>
      </c>
      <c r="Q83" s="178">
        <f t="shared" si="58"/>
        <v>350000</v>
      </c>
      <c r="R83" s="180">
        <f t="shared" si="60"/>
        <v>350000</v>
      </c>
      <c r="S83" s="177">
        <f t="shared" si="45"/>
        <v>1234000</v>
      </c>
      <c r="T83" s="181">
        <f>ROUNDDOWN((S83/24*1.059)+(VLOOKUP(I83,[2]구분자!$P:$Q,2,FALSE)*0.75),-3)</f>
        <v>100000</v>
      </c>
      <c r="W83" s="124"/>
    </row>
    <row r="84" spans="1:23" s="2" customFormat="1" ht="25.05" customHeight="1">
      <c r="A84" s="115" t="s">
        <v>1583</v>
      </c>
      <c r="B84" s="120">
        <f>VLOOKUP($A84,출고가!$C:$E,3,FALSE)</f>
        <v>1584000</v>
      </c>
      <c r="C84" s="120" t="str">
        <f t="shared" si="55"/>
        <v>AIPA-256슬림10G</v>
      </c>
      <c r="D84" s="125"/>
      <c r="E84" s="126"/>
      <c r="F84" s="211"/>
      <c r="G84" s="211"/>
      <c r="H84" s="127"/>
      <c r="I84" s="176" t="s">
        <v>992</v>
      </c>
      <c r="J84" s="177" t="s">
        <v>1523</v>
      </c>
      <c r="K84" s="178">
        <v>280000</v>
      </c>
      <c r="L84" s="178">
        <v>280000</v>
      </c>
      <c r="M84" s="178">
        <v>280000</v>
      </c>
      <c r="N84" s="179">
        <f t="shared" si="47"/>
        <v>0</v>
      </c>
      <c r="O84" s="178">
        <f t="shared" si="56"/>
        <v>280000</v>
      </c>
      <c r="P84" s="178">
        <f t="shared" si="57"/>
        <v>280000</v>
      </c>
      <c r="Q84" s="178">
        <f t="shared" si="58"/>
        <v>280000</v>
      </c>
      <c r="R84" s="180">
        <f t="shared" si="60"/>
        <v>280000</v>
      </c>
      <c r="S84" s="177">
        <f t="shared" si="45"/>
        <v>1304000</v>
      </c>
      <c r="T84" s="181">
        <f>ROUNDDOWN((S84/24*1.059)+(VLOOKUP(I84,[2]구분자!$P:$Q,2,FALSE)*0.75),-3)</f>
        <v>95000</v>
      </c>
      <c r="W84" s="124"/>
    </row>
    <row r="85" spans="1:23" s="2" customFormat="1" ht="25.05" customHeight="1">
      <c r="A85" s="115" t="s">
        <v>1583</v>
      </c>
      <c r="B85" s="120">
        <f>VLOOKUP($A85,출고가!$C:$E,3,FALSE)</f>
        <v>1584000</v>
      </c>
      <c r="C85" s="120" t="str">
        <f t="shared" si="55"/>
        <v>AIPA-256슬림4G</v>
      </c>
      <c r="D85" s="125"/>
      <c r="E85" s="128"/>
      <c r="F85" s="212"/>
      <c r="G85" s="212"/>
      <c r="H85" s="129"/>
      <c r="I85" s="182" t="s">
        <v>990</v>
      </c>
      <c r="J85" s="183" t="s">
        <v>1524</v>
      </c>
      <c r="K85" s="184">
        <v>230000</v>
      </c>
      <c r="L85" s="184">
        <v>230000</v>
      </c>
      <c r="M85" s="184">
        <v>230000</v>
      </c>
      <c r="N85" s="185">
        <f t="shared" si="47"/>
        <v>0</v>
      </c>
      <c r="O85" s="184">
        <f t="shared" si="56"/>
        <v>230000</v>
      </c>
      <c r="P85" s="184">
        <f t="shared" si="57"/>
        <v>230000</v>
      </c>
      <c r="Q85" s="184">
        <f t="shared" si="58"/>
        <v>230000</v>
      </c>
      <c r="R85" s="186">
        <f t="shared" si="60"/>
        <v>230000</v>
      </c>
      <c r="S85" s="183">
        <f t="shared" si="45"/>
        <v>1354000</v>
      </c>
      <c r="T85" s="187">
        <f>ROUNDDOWN((S85/24*1.059)+(VLOOKUP(I85,[2]구분자!$P:$Q,2,FALSE)*0.75),-3)</f>
        <v>87000</v>
      </c>
      <c r="W85" s="124"/>
    </row>
    <row r="86" spans="1:23" s="2" customFormat="1" ht="25.05" customHeight="1">
      <c r="A86" s="115" t="s">
        <v>1585</v>
      </c>
      <c r="B86" s="120">
        <f>VLOOKUP($A86,출고가!$C:$E,3,FALSE)</f>
        <v>1881000</v>
      </c>
      <c r="C86" s="120" t="str">
        <f t="shared" si="55"/>
        <v>AIPA-512베이직</v>
      </c>
      <c r="D86" s="125"/>
      <c r="E86" s="130" t="s">
        <v>229</v>
      </c>
      <c r="F86" s="213" t="str">
        <f>A86</f>
        <v>AIPA-512</v>
      </c>
      <c r="G86" s="213" t="str">
        <f>VLOOKUP(F86,출고가!C:D,2,0)</f>
        <v>iPhone Air 512GB</v>
      </c>
      <c r="H86" s="131">
        <f>B86</f>
        <v>1881000</v>
      </c>
      <c r="I86" s="169" t="s">
        <v>357</v>
      </c>
      <c r="J86" s="170" t="s">
        <v>1521</v>
      </c>
      <c r="K86" s="190">
        <v>420000</v>
      </c>
      <c r="L86" s="190">
        <v>420000</v>
      </c>
      <c r="M86" s="190">
        <v>420000</v>
      </c>
      <c r="N86" s="171">
        <f t="shared" si="47"/>
        <v>0</v>
      </c>
      <c r="O86" s="172">
        <f t="shared" si="56"/>
        <v>420000</v>
      </c>
      <c r="P86" s="172">
        <f t="shared" si="57"/>
        <v>420000</v>
      </c>
      <c r="Q86" s="172">
        <f t="shared" si="58"/>
        <v>420000</v>
      </c>
      <c r="R86" s="173">
        <f t="shared" si="60"/>
        <v>420000</v>
      </c>
      <c r="S86" s="174">
        <f t="shared" si="45"/>
        <v>1461000</v>
      </c>
      <c r="T86" s="175">
        <f>ROUNDDOWN((S86/24*1.059)+(VLOOKUP(I86,[2]구분자!$P:$Q,2,FALSE)*0.75),-3)</f>
        <v>124000</v>
      </c>
      <c r="W86" s="124"/>
    </row>
    <row r="87" spans="1:23" s="2" customFormat="1" ht="25.05" customHeight="1">
      <c r="A87" s="115" t="s">
        <v>1585</v>
      </c>
      <c r="B87" s="120">
        <f>VLOOKUP($A87,출고가!$C:$E,3,FALSE)</f>
        <v>1881000</v>
      </c>
      <c r="C87" s="120" t="str">
        <f t="shared" si="55"/>
        <v>AIPA-512심플30G</v>
      </c>
      <c r="D87" s="125"/>
      <c r="E87" s="126"/>
      <c r="F87" s="208"/>
      <c r="G87" s="168"/>
      <c r="H87" s="127"/>
      <c r="I87" s="176" t="s">
        <v>988</v>
      </c>
      <c r="J87" s="177" t="s">
        <v>1615</v>
      </c>
      <c r="K87" s="178">
        <v>350000</v>
      </c>
      <c r="L87" s="178">
        <v>350000</v>
      </c>
      <c r="M87" s="178">
        <v>350000</v>
      </c>
      <c r="N87" s="179">
        <f t="shared" si="47"/>
        <v>0</v>
      </c>
      <c r="O87" s="178">
        <f t="shared" si="56"/>
        <v>350000</v>
      </c>
      <c r="P87" s="178">
        <f t="shared" si="57"/>
        <v>350000</v>
      </c>
      <c r="Q87" s="178">
        <f t="shared" si="58"/>
        <v>350000</v>
      </c>
      <c r="R87" s="180">
        <f t="shared" si="60"/>
        <v>350000</v>
      </c>
      <c r="S87" s="177">
        <f t="shared" si="45"/>
        <v>1531000</v>
      </c>
      <c r="T87" s="181">
        <f>ROUNDDOWN((S87/24*1.059)+(VLOOKUP(I87,[2]구분자!$P:$Q,2,FALSE)*0.75),-3)</f>
        <v>113000</v>
      </c>
      <c r="W87" s="124"/>
    </row>
    <row r="88" spans="1:23" s="2" customFormat="1" ht="25.05" customHeight="1">
      <c r="A88" s="115" t="s">
        <v>1585</v>
      </c>
      <c r="B88" s="120">
        <f>VLOOKUP($A88,출고가!$C:$E,3,FALSE)</f>
        <v>1881000</v>
      </c>
      <c r="C88" s="120" t="str">
        <f t="shared" si="55"/>
        <v>AIPA-512슬림10G</v>
      </c>
      <c r="D88" s="125"/>
      <c r="E88" s="126"/>
      <c r="F88" s="208"/>
      <c r="G88" s="168"/>
      <c r="H88" s="127"/>
      <c r="I88" s="176" t="s">
        <v>992</v>
      </c>
      <c r="J88" s="177" t="s">
        <v>1523</v>
      </c>
      <c r="K88" s="178">
        <v>280000</v>
      </c>
      <c r="L88" s="178">
        <v>280000</v>
      </c>
      <c r="M88" s="178">
        <v>280000</v>
      </c>
      <c r="N88" s="179">
        <f t="shared" si="47"/>
        <v>0</v>
      </c>
      <c r="O88" s="178">
        <f t="shared" si="56"/>
        <v>280000</v>
      </c>
      <c r="P88" s="178">
        <f t="shared" si="57"/>
        <v>280000</v>
      </c>
      <c r="Q88" s="178">
        <f t="shared" si="58"/>
        <v>280000</v>
      </c>
      <c r="R88" s="180">
        <f t="shared" si="60"/>
        <v>280000</v>
      </c>
      <c r="S88" s="177">
        <f t="shared" si="45"/>
        <v>1601000</v>
      </c>
      <c r="T88" s="181">
        <f>ROUNDDOWN((S88/24*1.059)+(VLOOKUP(I88,[2]구분자!$P:$Q,2,FALSE)*0.75),-3)</f>
        <v>108000</v>
      </c>
      <c r="W88" s="124"/>
    </row>
    <row r="89" spans="1:23" s="2" customFormat="1" ht="25.05" customHeight="1">
      <c r="A89" s="115" t="s">
        <v>1585</v>
      </c>
      <c r="B89" s="120">
        <f>VLOOKUP($A89,출고가!$C:$E,3,FALSE)</f>
        <v>1881000</v>
      </c>
      <c r="C89" s="120" t="str">
        <f t="shared" si="55"/>
        <v>AIPA-512슬림4G</v>
      </c>
      <c r="D89" s="125"/>
      <c r="E89" s="128"/>
      <c r="F89" s="209"/>
      <c r="G89" s="209"/>
      <c r="H89" s="129"/>
      <c r="I89" s="182" t="s">
        <v>990</v>
      </c>
      <c r="J89" s="183" t="s">
        <v>1524</v>
      </c>
      <c r="K89" s="184">
        <v>230000</v>
      </c>
      <c r="L89" s="184">
        <v>230000</v>
      </c>
      <c r="M89" s="184">
        <v>230000</v>
      </c>
      <c r="N89" s="185">
        <f t="shared" si="47"/>
        <v>0</v>
      </c>
      <c r="O89" s="184">
        <f t="shared" si="56"/>
        <v>230000</v>
      </c>
      <c r="P89" s="184">
        <f t="shared" si="57"/>
        <v>230000</v>
      </c>
      <c r="Q89" s="184">
        <f t="shared" si="58"/>
        <v>230000</v>
      </c>
      <c r="R89" s="186">
        <f t="shared" si="60"/>
        <v>230000</v>
      </c>
      <c r="S89" s="183">
        <f t="shared" si="45"/>
        <v>1651000</v>
      </c>
      <c r="T89" s="187">
        <f>ROUNDDOWN((S89/24*1.059)+(VLOOKUP(I89,[2]구분자!$P:$Q,2,FALSE)*0.75),-3)</f>
        <v>100000</v>
      </c>
      <c r="W89" s="124"/>
    </row>
    <row r="90" spans="1:23" s="2" customFormat="1" ht="25.05" customHeight="1">
      <c r="A90" s="115" t="s">
        <v>1594</v>
      </c>
      <c r="B90" s="120">
        <f>VLOOKUP($A90,출고가!$C:$E,3,FALSE)</f>
        <v>1782000</v>
      </c>
      <c r="C90" s="120" t="str">
        <f t="shared" si="55"/>
        <v>AIP17P-256베이직</v>
      </c>
      <c r="D90" s="125"/>
      <c r="E90" s="130" t="s">
        <v>229</v>
      </c>
      <c r="F90" s="213" t="str">
        <f>A90</f>
        <v>AIP17P-256</v>
      </c>
      <c r="G90" s="213" t="str">
        <f>VLOOKUP(F90,출고가!C:D,2,0)</f>
        <v>iPhone 17 Pro 256GB</v>
      </c>
      <c r="H90" s="131">
        <f>B90</f>
        <v>1782000</v>
      </c>
      <c r="I90" s="169" t="s">
        <v>357</v>
      </c>
      <c r="J90" s="170" t="s">
        <v>1521</v>
      </c>
      <c r="K90" s="190">
        <v>420000</v>
      </c>
      <c r="L90" s="190">
        <v>420000</v>
      </c>
      <c r="M90" s="190">
        <v>420000</v>
      </c>
      <c r="N90" s="171">
        <f t="shared" si="47"/>
        <v>0</v>
      </c>
      <c r="O90" s="172">
        <f t="shared" si="56"/>
        <v>420000</v>
      </c>
      <c r="P90" s="172">
        <f t="shared" si="57"/>
        <v>420000</v>
      </c>
      <c r="Q90" s="172">
        <f t="shared" si="58"/>
        <v>420000</v>
      </c>
      <c r="R90" s="173">
        <f t="shared" si="60"/>
        <v>420000</v>
      </c>
      <c r="S90" s="174">
        <f t="shared" si="45"/>
        <v>1362000</v>
      </c>
      <c r="T90" s="175">
        <f>ROUNDDOWN((S90/24*1.059)+(VLOOKUP(I90,[2]구분자!$P:$Q,2,FALSE)*0.75),-3)</f>
        <v>120000</v>
      </c>
      <c r="W90" s="124"/>
    </row>
    <row r="91" spans="1:23" s="2" customFormat="1" ht="25.05" customHeight="1">
      <c r="A91" s="115" t="s">
        <v>1594</v>
      </c>
      <c r="B91" s="120">
        <f>VLOOKUP($A91,출고가!$C:$E,3,FALSE)</f>
        <v>1782000</v>
      </c>
      <c r="C91" s="120" t="str">
        <f t="shared" si="55"/>
        <v>AIP17P-256심플30G</v>
      </c>
      <c r="D91" s="125"/>
      <c r="E91" s="126"/>
      <c r="F91" s="211"/>
      <c r="G91" s="211"/>
      <c r="H91" s="127"/>
      <c r="I91" s="176" t="s">
        <v>988</v>
      </c>
      <c r="J91" s="177" t="s">
        <v>1615</v>
      </c>
      <c r="K91" s="178">
        <v>350000</v>
      </c>
      <c r="L91" s="178">
        <v>350000</v>
      </c>
      <c r="M91" s="178">
        <v>350000</v>
      </c>
      <c r="N91" s="179">
        <f t="shared" si="47"/>
        <v>0</v>
      </c>
      <c r="O91" s="178">
        <f t="shared" si="56"/>
        <v>350000</v>
      </c>
      <c r="P91" s="178">
        <f t="shared" si="57"/>
        <v>350000</v>
      </c>
      <c r="Q91" s="178">
        <f t="shared" si="58"/>
        <v>350000</v>
      </c>
      <c r="R91" s="180">
        <f t="shared" si="60"/>
        <v>350000</v>
      </c>
      <c r="S91" s="177">
        <f t="shared" si="45"/>
        <v>1432000</v>
      </c>
      <c r="T91" s="181">
        <f>ROUNDDOWN((S91/24*1.059)+(VLOOKUP(I91,[2]구분자!$P:$Q,2,FALSE)*0.75),-3)</f>
        <v>108000</v>
      </c>
      <c r="W91" s="124"/>
    </row>
    <row r="92" spans="1:23" s="2" customFormat="1" ht="25.05" customHeight="1">
      <c r="A92" s="115" t="s">
        <v>1594</v>
      </c>
      <c r="B92" s="120">
        <f>VLOOKUP($A92,출고가!$C:$E,3,FALSE)</f>
        <v>1782000</v>
      </c>
      <c r="C92" s="120" t="str">
        <f t="shared" si="55"/>
        <v>AIP17P-256슬림10G</v>
      </c>
      <c r="D92" s="125"/>
      <c r="E92" s="126"/>
      <c r="F92" s="211"/>
      <c r="G92" s="211"/>
      <c r="H92" s="127"/>
      <c r="I92" s="176" t="s">
        <v>992</v>
      </c>
      <c r="J92" s="177" t="s">
        <v>1523</v>
      </c>
      <c r="K92" s="178">
        <v>280000</v>
      </c>
      <c r="L92" s="178">
        <v>280000</v>
      </c>
      <c r="M92" s="178">
        <v>280000</v>
      </c>
      <c r="N92" s="179">
        <f t="shared" si="47"/>
        <v>0</v>
      </c>
      <c r="O92" s="178">
        <f t="shared" si="56"/>
        <v>280000</v>
      </c>
      <c r="P92" s="178">
        <f t="shared" si="57"/>
        <v>280000</v>
      </c>
      <c r="Q92" s="178">
        <f t="shared" si="58"/>
        <v>280000</v>
      </c>
      <c r="R92" s="180">
        <f t="shared" si="60"/>
        <v>280000</v>
      </c>
      <c r="S92" s="177">
        <f t="shared" si="45"/>
        <v>1502000</v>
      </c>
      <c r="T92" s="181">
        <f>ROUNDDOWN((S92/24*1.059)+(VLOOKUP(I92,[2]구분자!$P:$Q,2,FALSE)*0.75),-3)</f>
        <v>103000</v>
      </c>
      <c r="W92" s="124"/>
    </row>
    <row r="93" spans="1:23" s="2" customFormat="1" ht="25.05" customHeight="1">
      <c r="A93" s="115" t="s">
        <v>1594</v>
      </c>
      <c r="B93" s="120">
        <f>VLOOKUP($A93,출고가!$C:$E,3,FALSE)</f>
        <v>1782000</v>
      </c>
      <c r="C93" s="120" t="str">
        <f t="shared" si="55"/>
        <v>AIP17P-256슬림4G</v>
      </c>
      <c r="D93" s="125"/>
      <c r="E93" s="128"/>
      <c r="F93" s="212"/>
      <c r="G93" s="212"/>
      <c r="H93" s="129"/>
      <c r="I93" s="182" t="s">
        <v>990</v>
      </c>
      <c r="J93" s="183" t="s">
        <v>1524</v>
      </c>
      <c r="K93" s="184">
        <v>230000</v>
      </c>
      <c r="L93" s="184">
        <v>230000</v>
      </c>
      <c r="M93" s="184">
        <v>230000</v>
      </c>
      <c r="N93" s="185">
        <f t="shared" si="47"/>
        <v>0</v>
      </c>
      <c r="O93" s="184">
        <f t="shared" si="56"/>
        <v>230000</v>
      </c>
      <c r="P93" s="184">
        <f t="shared" si="57"/>
        <v>230000</v>
      </c>
      <c r="Q93" s="184">
        <f t="shared" si="58"/>
        <v>230000</v>
      </c>
      <c r="R93" s="186">
        <f t="shared" si="60"/>
        <v>230000</v>
      </c>
      <c r="S93" s="183">
        <f t="shared" si="45"/>
        <v>1552000</v>
      </c>
      <c r="T93" s="187">
        <f>ROUNDDOWN((S93/24*1.059)+(VLOOKUP(I93,[2]구분자!$P:$Q,2,FALSE)*0.75),-3)</f>
        <v>96000</v>
      </c>
      <c r="W93" s="124"/>
    </row>
    <row r="94" spans="1:23" s="2" customFormat="1" ht="25.05" customHeight="1">
      <c r="A94" s="115" t="s">
        <v>1596</v>
      </c>
      <c r="B94" s="120">
        <f>VLOOKUP($A94,출고가!$C:$E,3,FALSE)</f>
        <v>2090000</v>
      </c>
      <c r="C94" s="120" t="str">
        <f t="shared" si="55"/>
        <v>AIP17P-512베이직</v>
      </c>
      <c r="D94" s="125"/>
      <c r="E94" s="130" t="s">
        <v>229</v>
      </c>
      <c r="F94" s="213" t="str">
        <f>A94</f>
        <v>AIP17P-512</v>
      </c>
      <c r="G94" s="213" t="str">
        <f>VLOOKUP(F94,출고가!C:D,2,0)</f>
        <v>iPhone 17 Pro 512GB</v>
      </c>
      <c r="H94" s="131">
        <f>B94</f>
        <v>2090000</v>
      </c>
      <c r="I94" s="169" t="s">
        <v>357</v>
      </c>
      <c r="J94" s="170" t="s">
        <v>1521</v>
      </c>
      <c r="K94" s="190">
        <v>420000</v>
      </c>
      <c r="L94" s="190">
        <v>420000</v>
      </c>
      <c r="M94" s="190">
        <v>420000</v>
      </c>
      <c r="N94" s="171">
        <f t="shared" si="47"/>
        <v>0</v>
      </c>
      <c r="O94" s="172">
        <f t="shared" si="56"/>
        <v>420000</v>
      </c>
      <c r="P94" s="172">
        <f t="shared" si="57"/>
        <v>420000</v>
      </c>
      <c r="Q94" s="172">
        <f t="shared" si="58"/>
        <v>420000</v>
      </c>
      <c r="R94" s="173">
        <f t="shared" si="60"/>
        <v>420000</v>
      </c>
      <c r="S94" s="174">
        <f t="shared" si="45"/>
        <v>1670000</v>
      </c>
      <c r="T94" s="175">
        <f>ROUNDDOWN((S94/24*1.059)+(VLOOKUP(I94,[2]구분자!$P:$Q,2,FALSE)*0.75),-3)</f>
        <v>133000</v>
      </c>
      <c r="W94" s="124"/>
    </row>
    <row r="95" spans="1:23" s="2" customFormat="1" ht="25.05" customHeight="1">
      <c r="A95" s="115" t="s">
        <v>1596</v>
      </c>
      <c r="B95" s="120">
        <f>VLOOKUP($A95,출고가!$C:$E,3,FALSE)</f>
        <v>2090000</v>
      </c>
      <c r="C95" s="120" t="str">
        <f t="shared" si="55"/>
        <v>AIP17P-512심플30G</v>
      </c>
      <c r="D95" s="125"/>
      <c r="E95" s="126"/>
      <c r="F95" s="211"/>
      <c r="G95" s="211"/>
      <c r="H95" s="127"/>
      <c r="I95" s="176" t="s">
        <v>988</v>
      </c>
      <c r="J95" s="177" t="s">
        <v>1615</v>
      </c>
      <c r="K95" s="178">
        <v>350000</v>
      </c>
      <c r="L95" s="178">
        <v>350000</v>
      </c>
      <c r="M95" s="178">
        <v>350000</v>
      </c>
      <c r="N95" s="179">
        <f t="shared" si="47"/>
        <v>0</v>
      </c>
      <c r="O95" s="178">
        <f t="shared" si="56"/>
        <v>350000</v>
      </c>
      <c r="P95" s="178">
        <f t="shared" si="57"/>
        <v>350000</v>
      </c>
      <c r="Q95" s="178">
        <f t="shared" si="58"/>
        <v>350000</v>
      </c>
      <c r="R95" s="180">
        <f t="shared" si="60"/>
        <v>350000</v>
      </c>
      <c r="S95" s="177">
        <f t="shared" si="45"/>
        <v>1740000</v>
      </c>
      <c r="T95" s="181">
        <f>ROUNDDOWN((S95/24*1.059)+(VLOOKUP(I95,[2]구분자!$P:$Q,2,FALSE)*0.75),-3)</f>
        <v>122000</v>
      </c>
      <c r="W95" s="124"/>
    </row>
    <row r="96" spans="1:23" s="2" customFormat="1" ht="25.05" customHeight="1">
      <c r="A96" s="115" t="s">
        <v>1596</v>
      </c>
      <c r="B96" s="120">
        <f>VLOOKUP($A96,출고가!$C:$E,3,FALSE)</f>
        <v>2090000</v>
      </c>
      <c r="C96" s="120" t="str">
        <f t="shared" si="55"/>
        <v>AIP17P-512슬림10G</v>
      </c>
      <c r="D96" s="125"/>
      <c r="E96" s="126"/>
      <c r="F96" s="211"/>
      <c r="G96" s="211"/>
      <c r="H96" s="127"/>
      <c r="I96" s="176" t="s">
        <v>992</v>
      </c>
      <c r="J96" s="177" t="s">
        <v>1523</v>
      </c>
      <c r="K96" s="178">
        <v>280000</v>
      </c>
      <c r="L96" s="178">
        <v>280000</v>
      </c>
      <c r="M96" s="178">
        <v>280000</v>
      </c>
      <c r="N96" s="179">
        <f t="shared" si="47"/>
        <v>0</v>
      </c>
      <c r="O96" s="178">
        <f t="shared" si="56"/>
        <v>280000</v>
      </c>
      <c r="P96" s="178">
        <f t="shared" si="57"/>
        <v>280000</v>
      </c>
      <c r="Q96" s="178">
        <f t="shared" si="58"/>
        <v>280000</v>
      </c>
      <c r="R96" s="180">
        <f t="shared" si="60"/>
        <v>280000</v>
      </c>
      <c r="S96" s="177">
        <f t="shared" si="45"/>
        <v>1810000</v>
      </c>
      <c r="T96" s="181">
        <f>ROUNDDOWN((S96/24*1.059)+(VLOOKUP(I96,[2]구분자!$P:$Q,2,FALSE)*0.75),-3)</f>
        <v>117000</v>
      </c>
      <c r="W96" s="124"/>
    </row>
    <row r="97" spans="1:23" s="2" customFormat="1" ht="25.05" customHeight="1">
      <c r="A97" s="115" t="s">
        <v>1596</v>
      </c>
      <c r="B97" s="120">
        <f>VLOOKUP($A97,출고가!$C:$E,3,FALSE)</f>
        <v>2090000</v>
      </c>
      <c r="C97" s="120" t="str">
        <f t="shared" si="55"/>
        <v>AIP17P-512슬림4G</v>
      </c>
      <c r="D97" s="125"/>
      <c r="E97" s="128"/>
      <c r="F97" s="212"/>
      <c r="G97" s="212"/>
      <c r="H97" s="129"/>
      <c r="I97" s="182" t="s">
        <v>990</v>
      </c>
      <c r="J97" s="183" t="s">
        <v>1524</v>
      </c>
      <c r="K97" s="184">
        <v>230000</v>
      </c>
      <c r="L97" s="184">
        <v>230000</v>
      </c>
      <c r="M97" s="184">
        <v>230000</v>
      </c>
      <c r="N97" s="185">
        <f t="shared" si="47"/>
        <v>0</v>
      </c>
      <c r="O97" s="184">
        <f t="shared" si="56"/>
        <v>230000</v>
      </c>
      <c r="P97" s="184">
        <f t="shared" si="57"/>
        <v>230000</v>
      </c>
      <c r="Q97" s="184">
        <f t="shared" si="58"/>
        <v>230000</v>
      </c>
      <c r="R97" s="186">
        <f t="shared" si="60"/>
        <v>230000</v>
      </c>
      <c r="S97" s="183">
        <f t="shared" si="45"/>
        <v>1860000</v>
      </c>
      <c r="T97" s="187">
        <f>ROUNDDOWN((S97/24*1.059)+(VLOOKUP(I97,[2]구분자!$P:$Q,2,FALSE)*0.75),-3)</f>
        <v>109000</v>
      </c>
      <c r="W97" s="124"/>
    </row>
    <row r="98" spans="1:23" s="2" customFormat="1" ht="25.05" customHeight="1">
      <c r="A98" s="115" t="s">
        <v>1607</v>
      </c>
      <c r="B98" s="120">
        <f>VLOOKUP($A98,출고가!$C:$E,3,FALSE)</f>
        <v>1980000</v>
      </c>
      <c r="C98" s="120" t="str">
        <f t="shared" si="55"/>
        <v>AIP17PM-256베이직</v>
      </c>
      <c r="D98" s="125"/>
      <c r="E98" s="130" t="s">
        <v>229</v>
      </c>
      <c r="F98" s="213" t="str">
        <f>A98</f>
        <v>AIP17PM-256</v>
      </c>
      <c r="G98" s="213" t="str">
        <f>VLOOKUP(F98,출고가!C:D,2,0)</f>
        <v>iPhone 17 Pro Max 256GB</v>
      </c>
      <c r="H98" s="131">
        <f>B98</f>
        <v>1980000</v>
      </c>
      <c r="I98" s="169" t="s">
        <v>357</v>
      </c>
      <c r="J98" s="170" t="s">
        <v>1521</v>
      </c>
      <c r="K98" s="190">
        <v>420000</v>
      </c>
      <c r="L98" s="190">
        <v>420000</v>
      </c>
      <c r="M98" s="190">
        <v>420000</v>
      </c>
      <c r="N98" s="171">
        <f t="shared" si="47"/>
        <v>0</v>
      </c>
      <c r="O98" s="172">
        <f t="shared" si="56"/>
        <v>420000</v>
      </c>
      <c r="P98" s="172">
        <f t="shared" si="57"/>
        <v>420000</v>
      </c>
      <c r="Q98" s="172">
        <f t="shared" si="58"/>
        <v>420000</v>
      </c>
      <c r="R98" s="173">
        <f t="shared" si="60"/>
        <v>420000</v>
      </c>
      <c r="S98" s="174">
        <f t="shared" si="45"/>
        <v>1560000</v>
      </c>
      <c r="T98" s="175">
        <f>ROUNDDOWN((S98/24*1.059)+(VLOOKUP(I98,[2]구분자!$P:$Q,2,FALSE)*0.75),-3)</f>
        <v>128000</v>
      </c>
      <c r="W98" s="124"/>
    </row>
    <row r="99" spans="1:23" s="2" customFormat="1" ht="25.05" customHeight="1">
      <c r="A99" s="115" t="s">
        <v>1607</v>
      </c>
      <c r="B99" s="120">
        <f>VLOOKUP($A99,출고가!$C:$E,3,FALSE)</f>
        <v>1980000</v>
      </c>
      <c r="C99" s="120" t="str">
        <f t="shared" si="55"/>
        <v>AIP17PM-256심플30G</v>
      </c>
      <c r="D99" s="125"/>
      <c r="E99" s="126"/>
      <c r="F99" s="211"/>
      <c r="G99" s="211"/>
      <c r="H99" s="127"/>
      <c r="I99" s="176" t="s">
        <v>988</v>
      </c>
      <c r="J99" s="177" t="s">
        <v>1615</v>
      </c>
      <c r="K99" s="178">
        <v>350000</v>
      </c>
      <c r="L99" s="178">
        <v>350000</v>
      </c>
      <c r="M99" s="178">
        <v>350000</v>
      </c>
      <c r="N99" s="179">
        <f t="shared" si="47"/>
        <v>0</v>
      </c>
      <c r="O99" s="178">
        <f t="shared" si="56"/>
        <v>350000</v>
      </c>
      <c r="P99" s="178">
        <f t="shared" si="57"/>
        <v>350000</v>
      </c>
      <c r="Q99" s="178">
        <f t="shared" si="58"/>
        <v>350000</v>
      </c>
      <c r="R99" s="180">
        <f t="shared" si="60"/>
        <v>350000</v>
      </c>
      <c r="S99" s="177">
        <f t="shared" si="45"/>
        <v>1630000</v>
      </c>
      <c r="T99" s="181">
        <f>ROUNDDOWN((S99/24*1.059)+(VLOOKUP(I99,[2]구분자!$P:$Q,2,FALSE)*0.75),-3)</f>
        <v>117000</v>
      </c>
      <c r="W99" s="124"/>
    </row>
    <row r="100" spans="1:23" s="2" customFormat="1" ht="25.05" customHeight="1">
      <c r="A100" s="115" t="s">
        <v>1607</v>
      </c>
      <c r="B100" s="120">
        <f>VLOOKUP($A100,출고가!$C:$E,3,FALSE)</f>
        <v>1980000</v>
      </c>
      <c r="C100" s="120" t="str">
        <f t="shared" si="55"/>
        <v>AIP17PM-256슬림10G</v>
      </c>
      <c r="D100" s="125"/>
      <c r="E100" s="126"/>
      <c r="F100" s="211"/>
      <c r="G100" s="211"/>
      <c r="H100" s="127"/>
      <c r="I100" s="176" t="s">
        <v>992</v>
      </c>
      <c r="J100" s="177" t="s">
        <v>1523</v>
      </c>
      <c r="K100" s="178">
        <v>280000</v>
      </c>
      <c r="L100" s="178">
        <v>280000</v>
      </c>
      <c r="M100" s="178">
        <v>280000</v>
      </c>
      <c r="N100" s="179">
        <f t="shared" si="47"/>
        <v>0</v>
      </c>
      <c r="O100" s="178">
        <f t="shared" si="56"/>
        <v>280000</v>
      </c>
      <c r="P100" s="178">
        <f t="shared" si="57"/>
        <v>280000</v>
      </c>
      <c r="Q100" s="178">
        <f t="shared" si="58"/>
        <v>280000</v>
      </c>
      <c r="R100" s="180">
        <f t="shared" si="60"/>
        <v>280000</v>
      </c>
      <c r="S100" s="177">
        <f t="shared" si="45"/>
        <v>1700000</v>
      </c>
      <c r="T100" s="181">
        <f>ROUNDDOWN((S100/24*1.059)+(VLOOKUP(I100,[2]구분자!$P:$Q,2,FALSE)*0.75),-3)</f>
        <v>112000</v>
      </c>
      <c r="W100" s="124"/>
    </row>
    <row r="101" spans="1:23" s="2" customFormat="1" ht="25.05" customHeight="1">
      <c r="A101" s="115" t="s">
        <v>1607</v>
      </c>
      <c r="B101" s="120">
        <f>VLOOKUP($A101,출고가!$C:$E,3,FALSE)</f>
        <v>1980000</v>
      </c>
      <c r="C101" s="120" t="str">
        <f t="shared" si="55"/>
        <v>AIP17PM-256슬림4G</v>
      </c>
      <c r="D101" s="125"/>
      <c r="E101" s="128"/>
      <c r="F101" s="212"/>
      <c r="G101" s="212"/>
      <c r="H101" s="129"/>
      <c r="I101" s="182" t="s">
        <v>990</v>
      </c>
      <c r="J101" s="183" t="s">
        <v>1524</v>
      </c>
      <c r="K101" s="184">
        <v>230000</v>
      </c>
      <c r="L101" s="184">
        <v>230000</v>
      </c>
      <c r="M101" s="184">
        <v>230000</v>
      </c>
      <c r="N101" s="185">
        <f t="shared" si="47"/>
        <v>0</v>
      </c>
      <c r="O101" s="184">
        <f t="shared" si="56"/>
        <v>230000</v>
      </c>
      <c r="P101" s="184">
        <f t="shared" si="57"/>
        <v>230000</v>
      </c>
      <c r="Q101" s="184">
        <f t="shared" si="58"/>
        <v>230000</v>
      </c>
      <c r="R101" s="186">
        <f t="shared" si="60"/>
        <v>230000</v>
      </c>
      <c r="S101" s="183">
        <f t="shared" si="45"/>
        <v>1750000</v>
      </c>
      <c r="T101" s="187">
        <f>ROUNDDOWN((S101/24*1.059)+(VLOOKUP(I101,[2]구분자!$P:$Q,2,FALSE)*0.75),-3)</f>
        <v>104000</v>
      </c>
      <c r="W101" s="124"/>
    </row>
    <row r="102" spans="1:23" s="2" customFormat="1" ht="25.05" customHeight="1">
      <c r="A102" s="115" t="s">
        <v>1609</v>
      </c>
      <c r="B102" s="120">
        <f>VLOOKUP($A102,출고가!$C:$E,3,FALSE)</f>
        <v>2288000</v>
      </c>
      <c r="C102" s="120" t="str">
        <f t="shared" si="55"/>
        <v>AIP17PM-512베이직</v>
      </c>
      <c r="D102" s="125"/>
      <c r="E102" s="130" t="s">
        <v>229</v>
      </c>
      <c r="F102" s="213" t="str">
        <f>A102</f>
        <v>AIP17PM-512</v>
      </c>
      <c r="G102" s="213" t="str">
        <f>VLOOKUP(F102,출고가!C:D,2,0)</f>
        <v>iPhone 17 Pro Max 512GB</v>
      </c>
      <c r="H102" s="131">
        <f>B102</f>
        <v>2288000</v>
      </c>
      <c r="I102" s="169" t="s">
        <v>357</v>
      </c>
      <c r="J102" s="170" t="s">
        <v>1521</v>
      </c>
      <c r="K102" s="190">
        <v>420000</v>
      </c>
      <c r="L102" s="190">
        <v>420000</v>
      </c>
      <c r="M102" s="190">
        <v>420000</v>
      </c>
      <c r="N102" s="171">
        <f t="shared" si="47"/>
        <v>0</v>
      </c>
      <c r="O102" s="172">
        <f t="shared" si="56"/>
        <v>420000</v>
      </c>
      <c r="P102" s="172">
        <f t="shared" si="57"/>
        <v>420000</v>
      </c>
      <c r="Q102" s="172">
        <f t="shared" si="58"/>
        <v>420000</v>
      </c>
      <c r="R102" s="173">
        <f t="shared" si="60"/>
        <v>420000</v>
      </c>
      <c r="S102" s="174">
        <f t="shared" si="45"/>
        <v>1868000</v>
      </c>
      <c r="T102" s="175">
        <f>ROUNDDOWN((S102/24*1.059)+(VLOOKUP(I102,[2]구분자!$P:$Q,2,FALSE)*0.75),-3)</f>
        <v>142000</v>
      </c>
      <c r="W102" s="124"/>
    </row>
    <row r="103" spans="1:23" s="2" customFormat="1" ht="25.05" customHeight="1">
      <c r="A103" s="115" t="s">
        <v>1609</v>
      </c>
      <c r="B103" s="120">
        <f>VLOOKUP($A103,출고가!$C:$E,3,FALSE)</f>
        <v>2288000</v>
      </c>
      <c r="C103" s="120" t="str">
        <f t="shared" si="55"/>
        <v>AIP17PM-512심플30G</v>
      </c>
      <c r="D103" s="125"/>
      <c r="E103" s="126"/>
      <c r="F103" s="211"/>
      <c r="G103" s="211"/>
      <c r="H103" s="127"/>
      <c r="I103" s="176" t="s">
        <v>988</v>
      </c>
      <c r="J103" s="177" t="s">
        <v>1615</v>
      </c>
      <c r="K103" s="178">
        <v>350000</v>
      </c>
      <c r="L103" s="178">
        <v>350000</v>
      </c>
      <c r="M103" s="178">
        <v>350000</v>
      </c>
      <c r="N103" s="179">
        <f t="shared" si="47"/>
        <v>0</v>
      </c>
      <c r="O103" s="178">
        <f t="shared" si="56"/>
        <v>350000</v>
      </c>
      <c r="P103" s="178">
        <f t="shared" si="57"/>
        <v>350000</v>
      </c>
      <c r="Q103" s="178">
        <f t="shared" si="58"/>
        <v>350000</v>
      </c>
      <c r="R103" s="180">
        <f t="shared" si="60"/>
        <v>350000</v>
      </c>
      <c r="S103" s="177">
        <f t="shared" si="45"/>
        <v>1938000</v>
      </c>
      <c r="T103" s="181">
        <f>ROUNDDOWN((S103/24*1.059)+(VLOOKUP(I103,[2]구분자!$P:$Q,2,FALSE)*0.75),-3)</f>
        <v>131000</v>
      </c>
      <c r="W103" s="124"/>
    </row>
    <row r="104" spans="1:23" s="2" customFormat="1" ht="25.05" customHeight="1">
      <c r="A104" s="115" t="s">
        <v>1609</v>
      </c>
      <c r="B104" s="120">
        <f>VLOOKUP($A104,출고가!$C:$E,3,FALSE)</f>
        <v>2288000</v>
      </c>
      <c r="C104" s="120" t="str">
        <f t="shared" si="55"/>
        <v>AIP17PM-512슬림10G</v>
      </c>
      <c r="D104" s="125"/>
      <c r="E104" s="126"/>
      <c r="F104" s="211"/>
      <c r="G104" s="211"/>
      <c r="H104" s="127"/>
      <c r="I104" s="176" t="s">
        <v>992</v>
      </c>
      <c r="J104" s="177" t="s">
        <v>1523</v>
      </c>
      <c r="K104" s="178">
        <v>280000</v>
      </c>
      <c r="L104" s="178">
        <v>280000</v>
      </c>
      <c r="M104" s="178">
        <v>280000</v>
      </c>
      <c r="N104" s="179">
        <f t="shared" si="47"/>
        <v>0</v>
      </c>
      <c r="O104" s="178">
        <f t="shared" si="56"/>
        <v>280000</v>
      </c>
      <c r="P104" s="178">
        <f t="shared" si="57"/>
        <v>280000</v>
      </c>
      <c r="Q104" s="178">
        <f t="shared" si="58"/>
        <v>280000</v>
      </c>
      <c r="R104" s="180">
        <f t="shared" si="60"/>
        <v>280000</v>
      </c>
      <c r="S104" s="177">
        <f t="shared" si="45"/>
        <v>2008000</v>
      </c>
      <c r="T104" s="181">
        <f>ROUNDDOWN((S104/24*1.059)+(VLOOKUP(I104,[2]구분자!$P:$Q,2,FALSE)*0.75),-3)</f>
        <v>126000</v>
      </c>
      <c r="W104" s="124"/>
    </row>
    <row r="105" spans="1:23" s="2" customFormat="1" ht="25.05" customHeight="1">
      <c r="A105" s="115" t="s">
        <v>1609</v>
      </c>
      <c r="B105" s="120">
        <f>VLOOKUP($A105,출고가!$C:$E,3,FALSE)</f>
        <v>2288000</v>
      </c>
      <c r="C105" s="120" t="str">
        <f t="shared" si="55"/>
        <v>AIP17PM-512슬림4G</v>
      </c>
      <c r="D105" s="125"/>
      <c r="E105" s="128"/>
      <c r="F105" s="212"/>
      <c r="G105" s="212"/>
      <c r="H105" s="129"/>
      <c r="I105" s="182" t="s">
        <v>990</v>
      </c>
      <c r="J105" s="183" t="s">
        <v>1524</v>
      </c>
      <c r="K105" s="184">
        <v>230000</v>
      </c>
      <c r="L105" s="184">
        <v>230000</v>
      </c>
      <c r="M105" s="184">
        <v>230000</v>
      </c>
      <c r="N105" s="185">
        <f t="shared" si="47"/>
        <v>0</v>
      </c>
      <c r="O105" s="184">
        <f t="shared" si="56"/>
        <v>230000</v>
      </c>
      <c r="P105" s="184">
        <f t="shared" si="57"/>
        <v>230000</v>
      </c>
      <c r="Q105" s="184">
        <f t="shared" si="58"/>
        <v>230000</v>
      </c>
      <c r="R105" s="186">
        <f t="shared" si="60"/>
        <v>230000</v>
      </c>
      <c r="S105" s="183">
        <f t="shared" si="45"/>
        <v>2058000</v>
      </c>
      <c r="T105" s="187">
        <f>ROUNDDOWN((S105/24*1.059)+(VLOOKUP(I105,[2]구분자!$P:$Q,2,FALSE)*0.75),-3)</f>
        <v>118000</v>
      </c>
      <c r="W105" s="124"/>
    </row>
    <row r="106" spans="1:23" s="2" customFormat="1" ht="25.05" customHeight="1">
      <c r="A106" s="115" t="s">
        <v>1526</v>
      </c>
      <c r="B106" s="120">
        <f>VLOOKUP($A106,출고가!$C:$E,3,FALSE)</f>
        <v>990000</v>
      </c>
      <c r="C106" s="120" t="str">
        <f t="shared" si="55"/>
        <v>AIP16E-128베이직</v>
      </c>
      <c r="D106" s="125"/>
      <c r="E106" s="130" t="s">
        <v>229</v>
      </c>
      <c r="F106" s="213" t="str">
        <f>A106</f>
        <v>AIP16E-128</v>
      </c>
      <c r="G106" s="213" t="str">
        <f>VLOOKUP(F106,출고가!C:D,2,0)</f>
        <v>iPhone 16e 128G</v>
      </c>
      <c r="H106" s="131">
        <f>B106</f>
        <v>990000</v>
      </c>
      <c r="I106" s="169" t="s">
        <v>357</v>
      </c>
      <c r="J106" s="170" t="s">
        <v>1521</v>
      </c>
      <c r="K106" s="190">
        <v>520000</v>
      </c>
      <c r="L106" s="190">
        <v>520000</v>
      </c>
      <c r="M106" s="190">
        <v>520000</v>
      </c>
      <c r="N106" s="171">
        <f t="shared" si="47"/>
        <v>0</v>
      </c>
      <c r="O106" s="172">
        <f t="shared" si="56"/>
        <v>520000</v>
      </c>
      <c r="P106" s="172">
        <f t="shared" si="57"/>
        <v>520000</v>
      </c>
      <c r="Q106" s="172">
        <f t="shared" si="58"/>
        <v>520000</v>
      </c>
      <c r="R106" s="173">
        <f t="shared" si="59"/>
        <v>520000</v>
      </c>
      <c r="S106" s="174">
        <f t="shared" si="45"/>
        <v>470000</v>
      </c>
      <c r="T106" s="175">
        <f>ROUNDDOWN((S106/24*1.059)+(VLOOKUP(I106,구분자!$P:$Q,2,FALSE)*0.75),-3)</f>
        <v>80000</v>
      </c>
      <c r="W106" s="124"/>
    </row>
    <row r="107" spans="1:23" s="2" customFormat="1" ht="25.05" customHeight="1">
      <c r="A107" s="115" t="s">
        <v>1509</v>
      </c>
      <c r="B107" s="120">
        <f>VLOOKUP($A107,출고가!$C:$E,3,FALSE)</f>
        <v>990000</v>
      </c>
      <c r="C107" s="120" t="str">
        <f t="shared" si="55"/>
        <v>AIP16E-128심플30G</v>
      </c>
      <c r="D107" s="125"/>
      <c r="E107" s="126"/>
      <c r="F107" s="208"/>
      <c r="G107" s="168"/>
      <c r="H107" s="127"/>
      <c r="I107" s="176" t="s">
        <v>988</v>
      </c>
      <c r="J107" s="177" t="s">
        <v>1522</v>
      </c>
      <c r="K107" s="178">
        <v>470000</v>
      </c>
      <c r="L107" s="178">
        <v>470000</v>
      </c>
      <c r="M107" s="178">
        <v>470000</v>
      </c>
      <c r="N107" s="179">
        <f t="shared" si="47"/>
        <v>0</v>
      </c>
      <c r="O107" s="178">
        <f t="shared" si="56"/>
        <v>470000</v>
      </c>
      <c r="P107" s="178">
        <f t="shared" si="57"/>
        <v>470000</v>
      </c>
      <c r="Q107" s="178">
        <f t="shared" si="58"/>
        <v>470000</v>
      </c>
      <c r="R107" s="180">
        <f t="shared" si="59"/>
        <v>470000</v>
      </c>
      <c r="S107" s="177">
        <f t="shared" si="45"/>
        <v>520000</v>
      </c>
      <c r="T107" s="181">
        <f>ROUNDDOWN((S107/24*1.059)+(VLOOKUP(I107,구분자!$P:$Q,2,FALSE)*0.75),-3)</f>
        <v>68000</v>
      </c>
      <c r="W107" s="124"/>
    </row>
    <row r="108" spans="1:23" s="2" customFormat="1" ht="25.05" customHeight="1">
      <c r="A108" s="115" t="s">
        <v>1509</v>
      </c>
      <c r="B108" s="120">
        <f>VLOOKUP($A108,출고가!$C:$E,3,FALSE)</f>
        <v>990000</v>
      </c>
      <c r="C108" s="120" t="str">
        <f t="shared" si="55"/>
        <v>AIP16E-128슬림10G</v>
      </c>
      <c r="D108" s="125"/>
      <c r="E108" s="126"/>
      <c r="F108" s="208"/>
      <c r="G108" s="168"/>
      <c r="H108" s="127"/>
      <c r="I108" s="176" t="s">
        <v>992</v>
      </c>
      <c r="J108" s="177" t="s">
        <v>1523</v>
      </c>
      <c r="K108" s="178">
        <v>420000</v>
      </c>
      <c r="L108" s="178">
        <v>420000</v>
      </c>
      <c r="M108" s="178">
        <v>420000</v>
      </c>
      <c r="N108" s="179">
        <f t="shared" si="47"/>
        <v>0</v>
      </c>
      <c r="O108" s="178">
        <f t="shared" si="56"/>
        <v>420000</v>
      </c>
      <c r="P108" s="178">
        <f t="shared" si="57"/>
        <v>420000</v>
      </c>
      <c r="Q108" s="178">
        <f t="shared" si="58"/>
        <v>420000</v>
      </c>
      <c r="R108" s="180">
        <f t="shared" si="59"/>
        <v>420000</v>
      </c>
      <c r="S108" s="177">
        <f t="shared" si="45"/>
        <v>570000</v>
      </c>
      <c r="T108" s="181">
        <f>ROUNDDOWN((S108/24*1.059)+(VLOOKUP(I108,구분자!$P:$Q,2,FALSE)*0.75),-3)</f>
        <v>62000</v>
      </c>
      <c r="W108" s="124"/>
    </row>
    <row r="109" spans="1:23" s="2" customFormat="1" ht="24" customHeight="1">
      <c r="A109" s="115" t="s">
        <v>1509</v>
      </c>
      <c r="B109" s="120">
        <f>VLOOKUP($A109,출고가!$C:$E,3,FALSE)</f>
        <v>990000</v>
      </c>
      <c r="C109" s="120" t="str">
        <f t="shared" si="55"/>
        <v>AIP16E-128슬림4G</v>
      </c>
      <c r="D109" s="125"/>
      <c r="E109" s="128"/>
      <c r="F109" s="209"/>
      <c r="G109" s="209"/>
      <c r="H109" s="129"/>
      <c r="I109" s="182" t="s">
        <v>990</v>
      </c>
      <c r="J109" s="183" t="s">
        <v>1524</v>
      </c>
      <c r="K109" s="184">
        <v>320000</v>
      </c>
      <c r="L109" s="184">
        <v>320000</v>
      </c>
      <c r="M109" s="184">
        <v>320000</v>
      </c>
      <c r="N109" s="185">
        <f t="shared" si="47"/>
        <v>0</v>
      </c>
      <c r="O109" s="184">
        <f t="shared" si="56"/>
        <v>320000</v>
      </c>
      <c r="P109" s="184">
        <f t="shared" si="57"/>
        <v>320000</v>
      </c>
      <c r="Q109" s="184">
        <f t="shared" si="58"/>
        <v>320000</v>
      </c>
      <c r="R109" s="186">
        <f t="shared" si="59"/>
        <v>320000</v>
      </c>
      <c r="S109" s="183">
        <f t="shared" si="45"/>
        <v>670000</v>
      </c>
      <c r="T109" s="187">
        <f>ROUNDDOWN((S109/24*1.059)+(VLOOKUP(I109,구분자!$P:$Q,2,FALSE)*0.75),-3)</f>
        <v>57000</v>
      </c>
      <c r="W109" s="124"/>
    </row>
    <row r="110" spans="1:23" s="2" customFormat="1" ht="25.05" customHeight="1">
      <c r="A110" s="115" t="s">
        <v>1511</v>
      </c>
      <c r="B110" s="120">
        <f>VLOOKUP($A110,출고가!$C:$E,3,FALSE)</f>
        <v>1133000</v>
      </c>
      <c r="C110" s="120" t="str">
        <f t="shared" si="55"/>
        <v>AIP16E-256베이직</v>
      </c>
      <c r="D110" s="125"/>
      <c r="E110" s="130" t="s">
        <v>229</v>
      </c>
      <c r="F110" s="213" t="str">
        <f>A110</f>
        <v>AIP16E-256</v>
      </c>
      <c r="G110" s="213" t="str">
        <f>VLOOKUP(F110,출고가!C:D,2,0)</f>
        <v>iPhone 16e 256G</v>
      </c>
      <c r="H110" s="131">
        <f>B110</f>
        <v>1133000</v>
      </c>
      <c r="I110" s="169" t="s">
        <v>357</v>
      </c>
      <c r="J110" s="170" t="s">
        <v>1521</v>
      </c>
      <c r="K110" s="190">
        <v>520000</v>
      </c>
      <c r="L110" s="190">
        <v>520000</v>
      </c>
      <c r="M110" s="190">
        <v>520000</v>
      </c>
      <c r="N110" s="171">
        <f t="shared" si="47"/>
        <v>0</v>
      </c>
      <c r="O110" s="172">
        <f t="shared" si="56"/>
        <v>520000</v>
      </c>
      <c r="P110" s="172">
        <f t="shared" si="57"/>
        <v>520000</v>
      </c>
      <c r="Q110" s="172">
        <f t="shared" si="58"/>
        <v>520000</v>
      </c>
      <c r="R110" s="173">
        <f t="shared" si="59"/>
        <v>520000</v>
      </c>
      <c r="S110" s="174">
        <f t="shared" si="45"/>
        <v>613000</v>
      </c>
      <c r="T110" s="175">
        <f>ROUNDDOWN((S110/24*1.059)+(VLOOKUP(I110,구분자!$P:$Q,2,FALSE)*0.75),-3)</f>
        <v>87000</v>
      </c>
      <c r="W110" s="124"/>
    </row>
    <row r="111" spans="1:23" s="2" customFormat="1" ht="25.05" customHeight="1">
      <c r="A111" s="115" t="s">
        <v>1511</v>
      </c>
      <c r="B111" s="120">
        <f>VLOOKUP($A111,출고가!$C:$E,3,FALSE)</f>
        <v>1133000</v>
      </c>
      <c r="C111" s="120" t="str">
        <f t="shared" si="55"/>
        <v>AIP16E-256심플30G</v>
      </c>
      <c r="D111" s="125"/>
      <c r="E111" s="126"/>
      <c r="F111" s="211"/>
      <c r="G111" s="211"/>
      <c r="H111" s="127"/>
      <c r="I111" s="176" t="s">
        <v>988</v>
      </c>
      <c r="J111" s="177" t="s">
        <v>1522</v>
      </c>
      <c r="K111" s="178">
        <v>470000</v>
      </c>
      <c r="L111" s="178">
        <v>470000</v>
      </c>
      <c r="M111" s="178">
        <v>470000</v>
      </c>
      <c r="N111" s="179">
        <f t="shared" si="47"/>
        <v>0</v>
      </c>
      <c r="O111" s="178">
        <f t="shared" si="56"/>
        <v>470000</v>
      </c>
      <c r="P111" s="178">
        <f t="shared" si="57"/>
        <v>470000</v>
      </c>
      <c r="Q111" s="178">
        <f t="shared" si="58"/>
        <v>470000</v>
      </c>
      <c r="R111" s="180">
        <f t="shared" si="59"/>
        <v>470000</v>
      </c>
      <c r="S111" s="177">
        <f t="shared" si="45"/>
        <v>663000</v>
      </c>
      <c r="T111" s="181">
        <f>ROUNDDOWN((S111/24*1.059)+(VLOOKUP(I111,구분자!$P:$Q,2,FALSE)*0.75),-3)</f>
        <v>75000</v>
      </c>
      <c r="W111" s="124"/>
    </row>
    <row r="112" spans="1:23" s="2" customFormat="1" ht="25.05" customHeight="1">
      <c r="A112" s="115" t="s">
        <v>1511</v>
      </c>
      <c r="B112" s="120">
        <f>VLOOKUP($A112,출고가!$C:$E,3,FALSE)</f>
        <v>1133000</v>
      </c>
      <c r="C112" s="120" t="str">
        <f t="shared" si="55"/>
        <v>AIP16E-256슬림10G</v>
      </c>
      <c r="D112" s="125"/>
      <c r="E112" s="126"/>
      <c r="F112" s="211"/>
      <c r="G112" s="211"/>
      <c r="H112" s="127"/>
      <c r="I112" s="176" t="s">
        <v>992</v>
      </c>
      <c r="J112" s="177" t="s">
        <v>1523</v>
      </c>
      <c r="K112" s="178">
        <v>420000</v>
      </c>
      <c r="L112" s="178">
        <v>420000</v>
      </c>
      <c r="M112" s="178">
        <v>420000</v>
      </c>
      <c r="N112" s="179">
        <f t="shared" si="47"/>
        <v>0</v>
      </c>
      <c r="O112" s="178">
        <f t="shared" si="56"/>
        <v>420000</v>
      </c>
      <c r="P112" s="178">
        <f t="shared" si="57"/>
        <v>420000</v>
      </c>
      <c r="Q112" s="178">
        <f t="shared" si="58"/>
        <v>420000</v>
      </c>
      <c r="R112" s="180">
        <f t="shared" si="59"/>
        <v>420000</v>
      </c>
      <c r="S112" s="177">
        <f t="shared" si="45"/>
        <v>713000</v>
      </c>
      <c r="T112" s="181">
        <f>ROUNDDOWN((S112/24*1.059)+(VLOOKUP(I112,구분자!$P:$Q,2,FALSE)*0.75),-3)</f>
        <v>68000</v>
      </c>
      <c r="W112" s="124"/>
    </row>
    <row r="113" spans="1:23" s="2" customFormat="1" ht="25.05" customHeight="1">
      <c r="A113" s="115" t="s">
        <v>1511</v>
      </c>
      <c r="B113" s="120">
        <f>VLOOKUP($A113,출고가!$C:$E,3,FALSE)</f>
        <v>1133000</v>
      </c>
      <c r="C113" s="120" t="str">
        <f t="shared" si="55"/>
        <v>AIP16E-256슬림4G</v>
      </c>
      <c r="D113" s="125"/>
      <c r="E113" s="128"/>
      <c r="F113" s="212"/>
      <c r="G113" s="212"/>
      <c r="H113" s="129"/>
      <c r="I113" s="182" t="s">
        <v>990</v>
      </c>
      <c r="J113" s="183" t="s">
        <v>1524</v>
      </c>
      <c r="K113" s="184">
        <v>320000</v>
      </c>
      <c r="L113" s="184">
        <v>320000</v>
      </c>
      <c r="M113" s="184">
        <v>320000</v>
      </c>
      <c r="N113" s="185">
        <f t="shared" si="47"/>
        <v>0</v>
      </c>
      <c r="O113" s="184">
        <f t="shared" si="56"/>
        <v>320000</v>
      </c>
      <c r="P113" s="184">
        <f t="shared" si="57"/>
        <v>320000</v>
      </c>
      <c r="Q113" s="184">
        <f t="shared" si="58"/>
        <v>320000</v>
      </c>
      <c r="R113" s="186">
        <f t="shared" si="59"/>
        <v>320000</v>
      </c>
      <c r="S113" s="183">
        <f t="shared" si="45"/>
        <v>813000</v>
      </c>
      <c r="T113" s="187">
        <f>ROUNDDOWN((S113/24*1.059)+(VLOOKUP(I113,구분자!$P:$Q,2,FALSE)*0.75),-3)</f>
        <v>63000</v>
      </c>
      <c r="W113" s="124"/>
    </row>
    <row r="114" spans="1:23" s="2" customFormat="1" ht="25.05" customHeight="1">
      <c r="A114" s="115" t="s">
        <v>1513</v>
      </c>
      <c r="B114" s="120">
        <f>VLOOKUP($A114,출고가!$C:$E,3,FALSE)</f>
        <v>1430000</v>
      </c>
      <c r="C114" s="120" t="str">
        <f t="shared" si="55"/>
        <v>AIP16E-512베이직</v>
      </c>
      <c r="D114" s="125"/>
      <c r="E114" s="130" t="s">
        <v>229</v>
      </c>
      <c r="F114" s="213" t="str">
        <f>A114</f>
        <v>AIP16E-512</v>
      </c>
      <c r="G114" s="213" t="str">
        <f>VLOOKUP(F114,출고가!C:D,2,0)</f>
        <v>iPhone 16e 512G</v>
      </c>
      <c r="H114" s="131">
        <f>B114</f>
        <v>1430000</v>
      </c>
      <c r="I114" s="169" t="s">
        <v>357</v>
      </c>
      <c r="J114" s="170" t="s">
        <v>1521</v>
      </c>
      <c r="K114" s="190">
        <v>520000</v>
      </c>
      <c r="L114" s="190">
        <v>520000</v>
      </c>
      <c r="M114" s="190">
        <v>520000</v>
      </c>
      <c r="N114" s="171">
        <f t="shared" si="47"/>
        <v>0</v>
      </c>
      <c r="O114" s="172">
        <f t="shared" si="56"/>
        <v>520000</v>
      </c>
      <c r="P114" s="172">
        <f t="shared" si="57"/>
        <v>520000</v>
      </c>
      <c r="Q114" s="172">
        <f t="shared" si="58"/>
        <v>520000</v>
      </c>
      <c r="R114" s="173">
        <f t="shared" si="59"/>
        <v>520000</v>
      </c>
      <c r="S114" s="174">
        <f t="shared" si="45"/>
        <v>910000</v>
      </c>
      <c r="T114" s="175">
        <f>ROUNDDOWN((S114/24*1.059)+(VLOOKUP(I114,구분자!$P:$Q,2,FALSE)*0.75),-3)</f>
        <v>100000</v>
      </c>
      <c r="W114" s="124"/>
    </row>
    <row r="115" spans="1:23" s="2" customFormat="1" ht="25.05" customHeight="1">
      <c r="A115" s="115" t="s">
        <v>1513</v>
      </c>
      <c r="B115" s="120">
        <f>VLOOKUP($A115,출고가!$C:$E,3,FALSE)</f>
        <v>1430000</v>
      </c>
      <c r="C115" s="120" t="str">
        <f t="shared" si="55"/>
        <v>AIP16E-512심플30G</v>
      </c>
      <c r="D115" s="125"/>
      <c r="E115" s="126"/>
      <c r="F115" s="211"/>
      <c r="G115" s="211"/>
      <c r="H115" s="127"/>
      <c r="I115" s="176" t="s">
        <v>988</v>
      </c>
      <c r="J115" s="177" t="s">
        <v>1522</v>
      </c>
      <c r="K115" s="178">
        <v>470000</v>
      </c>
      <c r="L115" s="178">
        <v>470000</v>
      </c>
      <c r="M115" s="178">
        <v>470000</v>
      </c>
      <c r="N115" s="179">
        <f t="shared" si="47"/>
        <v>0</v>
      </c>
      <c r="O115" s="178">
        <f t="shared" si="56"/>
        <v>470000</v>
      </c>
      <c r="P115" s="178">
        <f t="shared" si="57"/>
        <v>470000</v>
      </c>
      <c r="Q115" s="178">
        <f t="shared" si="58"/>
        <v>470000</v>
      </c>
      <c r="R115" s="180">
        <f t="shared" si="59"/>
        <v>470000</v>
      </c>
      <c r="S115" s="177">
        <f t="shared" si="45"/>
        <v>960000</v>
      </c>
      <c r="T115" s="181">
        <f>ROUNDDOWN((S115/24*1.059)+(VLOOKUP(I115,구분자!$P:$Q,2,FALSE)*0.75),-3)</f>
        <v>88000</v>
      </c>
      <c r="W115" s="124"/>
    </row>
    <row r="116" spans="1:23" s="2" customFormat="1" ht="25.05" customHeight="1">
      <c r="A116" s="115" t="s">
        <v>1513</v>
      </c>
      <c r="B116" s="120">
        <f>VLOOKUP($A116,출고가!$C:$E,3,FALSE)</f>
        <v>1430000</v>
      </c>
      <c r="C116" s="120" t="str">
        <f t="shared" si="55"/>
        <v>AIP16E-512슬림10G</v>
      </c>
      <c r="D116" s="125"/>
      <c r="E116" s="126"/>
      <c r="F116" s="211"/>
      <c r="G116" s="211"/>
      <c r="H116" s="127"/>
      <c r="I116" s="176" t="s">
        <v>992</v>
      </c>
      <c r="J116" s="177" t="s">
        <v>1523</v>
      </c>
      <c r="K116" s="178">
        <v>420000</v>
      </c>
      <c r="L116" s="178">
        <v>420000</v>
      </c>
      <c r="M116" s="178">
        <v>420000</v>
      </c>
      <c r="N116" s="179">
        <f t="shared" si="47"/>
        <v>0</v>
      </c>
      <c r="O116" s="178">
        <f t="shared" si="56"/>
        <v>420000</v>
      </c>
      <c r="P116" s="178">
        <f t="shared" si="57"/>
        <v>420000</v>
      </c>
      <c r="Q116" s="178">
        <f t="shared" si="58"/>
        <v>420000</v>
      </c>
      <c r="R116" s="180">
        <f t="shared" si="59"/>
        <v>420000</v>
      </c>
      <c r="S116" s="177">
        <f t="shared" si="45"/>
        <v>1010000</v>
      </c>
      <c r="T116" s="181">
        <f>ROUNDDOWN((S116/24*1.059)+(VLOOKUP(I116,구분자!$P:$Q,2,FALSE)*0.75),-3)</f>
        <v>82000</v>
      </c>
      <c r="W116" s="124"/>
    </row>
    <row r="117" spans="1:23" s="2" customFormat="1" ht="25.05" customHeight="1">
      <c r="A117" s="115" t="s">
        <v>1513</v>
      </c>
      <c r="B117" s="120">
        <f>VLOOKUP($A117,출고가!$C:$E,3,FALSE)</f>
        <v>1430000</v>
      </c>
      <c r="C117" s="120" t="str">
        <f t="shared" si="55"/>
        <v>AIP16E-512슬림4G</v>
      </c>
      <c r="D117" s="125"/>
      <c r="E117" s="128"/>
      <c r="F117" s="212"/>
      <c r="G117" s="212"/>
      <c r="H117" s="129"/>
      <c r="I117" s="182" t="s">
        <v>990</v>
      </c>
      <c r="J117" s="183" t="s">
        <v>1524</v>
      </c>
      <c r="K117" s="184">
        <v>320000</v>
      </c>
      <c r="L117" s="184">
        <v>320000</v>
      </c>
      <c r="M117" s="184">
        <v>320000</v>
      </c>
      <c r="N117" s="185">
        <f t="shared" si="47"/>
        <v>0</v>
      </c>
      <c r="O117" s="184">
        <f t="shared" si="56"/>
        <v>320000</v>
      </c>
      <c r="P117" s="184">
        <f t="shared" si="57"/>
        <v>320000</v>
      </c>
      <c r="Q117" s="184">
        <f t="shared" si="58"/>
        <v>320000</v>
      </c>
      <c r="R117" s="186">
        <f t="shared" si="59"/>
        <v>320000</v>
      </c>
      <c r="S117" s="183">
        <f t="shared" si="45"/>
        <v>1110000</v>
      </c>
      <c r="T117" s="187">
        <f>ROUNDDOWN((S117/24*1.059)+(VLOOKUP(I117,구분자!$P:$Q,2,FALSE)*0.75),-3)</f>
        <v>76000</v>
      </c>
      <c r="W117" s="124"/>
    </row>
    <row r="118" spans="1:23" s="2" customFormat="1" ht="25.05" customHeight="1">
      <c r="A118" s="115" t="s">
        <v>1399</v>
      </c>
      <c r="B118" s="120">
        <f>VLOOKUP($A118,출고가!$C:$E,3,FALSE)</f>
        <v>1023000</v>
      </c>
      <c r="C118" s="120" t="str">
        <f t="shared" ref="C118:C161" si="61">A118&amp;I118</f>
        <v>AIP16-128베이직</v>
      </c>
      <c r="D118" s="125"/>
      <c r="E118" s="130" t="s">
        <v>229</v>
      </c>
      <c r="F118" s="213" t="str">
        <f>A118</f>
        <v>AIP16-128</v>
      </c>
      <c r="G118" s="213" t="str">
        <f>VLOOKUP(F118,출고가!C:D,2,0)</f>
        <v>iPhone 16 128G</v>
      </c>
      <c r="H118" s="131">
        <f>B118</f>
        <v>1023000</v>
      </c>
      <c r="I118" s="169" t="s">
        <v>357</v>
      </c>
      <c r="J118" s="170" t="s">
        <v>1521</v>
      </c>
      <c r="K118" s="190">
        <v>450000</v>
      </c>
      <c r="L118" s="190">
        <v>450000</v>
      </c>
      <c r="M118" s="190">
        <v>450000</v>
      </c>
      <c r="N118" s="171">
        <f t="shared" si="47"/>
        <v>0</v>
      </c>
      <c r="O118" s="172">
        <f t="shared" ref="O118:O161" si="62">IF(K118-$N118&gt;0,K118-$N118,0)</f>
        <v>450000</v>
      </c>
      <c r="P118" s="172">
        <f t="shared" ref="P118:P161" si="63">IF(L118-$N118&gt;0,L118-$N118,0)</f>
        <v>450000</v>
      </c>
      <c r="Q118" s="172">
        <f t="shared" ref="Q118:Q161" si="64">IF(M118-$N118&gt;0,M118-$N118,0)</f>
        <v>450000</v>
      </c>
      <c r="R118" s="173">
        <f t="shared" ref="R118:R161" si="65">IF($R$8=$O$8,O118,IF($R$8=$P$8,P118,Q118))</f>
        <v>450000</v>
      </c>
      <c r="S118" s="174">
        <f t="shared" si="45"/>
        <v>573000</v>
      </c>
      <c r="T118" s="175">
        <f>ROUNDDOWN((S118/24*1.059)+(VLOOKUP(I118,구분자!$P:$Q,2,FALSE)*0.75),-3)</f>
        <v>85000</v>
      </c>
      <c r="W118" s="124"/>
    </row>
    <row r="119" spans="1:23" s="2" customFormat="1" ht="25.05" customHeight="1">
      <c r="A119" s="115" t="s">
        <v>1399</v>
      </c>
      <c r="B119" s="120">
        <f>VLOOKUP($A119,출고가!$C:$E,3,FALSE)</f>
        <v>1023000</v>
      </c>
      <c r="C119" s="120" t="str">
        <f t="shared" si="61"/>
        <v>AIP16-128심플30G</v>
      </c>
      <c r="D119" s="125"/>
      <c r="E119" s="126"/>
      <c r="F119" s="208"/>
      <c r="G119" s="168"/>
      <c r="H119" s="127"/>
      <c r="I119" s="176" t="s">
        <v>988</v>
      </c>
      <c r="J119" s="177" t="s">
        <v>1522</v>
      </c>
      <c r="K119" s="178">
        <v>380000</v>
      </c>
      <c r="L119" s="178">
        <v>380000</v>
      </c>
      <c r="M119" s="178">
        <v>380000</v>
      </c>
      <c r="N119" s="179">
        <f t="shared" si="47"/>
        <v>0</v>
      </c>
      <c r="O119" s="178">
        <f t="shared" si="62"/>
        <v>380000</v>
      </c>
      <c r="P119" s="178">
        <f t="shared" si="63"/>
        <v>380000</v>
      </c>
      <c r="Q119" s="178">
        <f t="shared" si="64"/>
        <v>380000</v>
      </c>
      <c r="R119" s="180">
        <f t="shared" si="65"/>
        <v>380000</v>
      </c>
      <c r="S119" s="177">
        <f t="shared" si="45"/>
        <v>643000</v>
      </c>
      <c r="T119" s="181">
        <f>ROUNDDOWN((S119/24*1.059)+(VLOOKUP(I119,구분자!$P:$Q,2,FALSE)*0.75),-3)</f>
        <v>74000</v>
      </c>
      <c r="W119" s="124"/>
    </row>
    <row r="120" spans="1:23" s="2" customFormat="1" ht="25.05" customHeight="1">
      <c r="A120" s="115" t="s">
        <v>1399</v>
      </c>
      <c r="B120" s="120">
        <f>VLOOKUP($A120,출고가!$C:$E,3,FALSE)</f>
        <v>1023000</v>
      </c>
      <c r="C120" s="120" t="str">
        <f t="shared" si="61"/>
        <v>AIP16-128슬림10G</v>
      </c>
      <c r="D120" s="125"/>
      <c r="E120" s="126"/>
      <c r="F120" s="208"/>
      <c r="G120" s="168"/>
      <c r="H120" s="127"/>
      <c r="I120" s="176" t="s">
        <v>992</v>
      </c>
      <c r="J120" s="177" t="s">
        <v>1523</v>
      </c>
      <c r="K120" s="178">
        <v>310000</v>
      </c>
      <c r="L120" s="178">
        <v>310000</v>
      </c>
      <c r="M120" s="178">
        <v>310000</v>
      </c>
      <c r="N120" s="179">
        <f t="shared" si="47"/>
        <v>0</v>
      </c>
      <c r="O120" s="178">
        <f t="shared" si="62"/>
        <v>310000</v>
      </c>
      <c r="P120" s="178">
        <f t="shared" si="63"/>
        <v>310000</v>
      </c>
      <c r="Q120" s="178">
        <f t="shared" si="64"/>
        <v>310000</v>
      </c>
      <c r="R120" s="180">
        <f t="shared" si="65"/>
        <v>310000</v>
      </c>
      <c r="S120" s="177">
        <f t="shared" si="45"/>
        <v>713000</v>
      </c>
      <c r="T120" s="181">
        <f>ROUNDDOWN((S120/24*1.059)+(VLOOKUP(I120,구분자!$P:$Q,2,FALSE)*0.75),-3)</f>
        <v>68000</v>
      </c>
      <c r="W120" s="124"/>
    </row>
    <row r="121" spans="1:23" s="2" customFormat="1" ht="24" customHeight="1">
      <c r="A121" s="115" t="s">
        <v>1399</v>
      </c>
      <c r="B121" s="120">
        <f>VLOOKUP($A121,출고가!$C:$E,3,FALSE)</f>
        <v>1023000</v>
      </c>
      <c r="C121" s="120" t="str">
        <f t="shared" si="61"/>
        <v>AIP16-128슬림4G</v>
      </c>
      <c r="D121" s="125"/>
      <c r="E121" s="128"/>
      <c r="F121" s="209"/>
      <c r="G121" s="209"/>
      <c r="H121" s="129"/>
      <c r="I121" s="182" t="s">
        <v>990</v>
      </c>
      <c r="J121" s="183" t="s">
        <v>1524</v>
      </c>
      <c r="K121" s="184">
        <v>260000</v>
      </c>
      <c r="L121" s="184">
        <v>260000</v>
      </c>
      <c r="M121" s="184">
        <v>260000</v>
      </c>
      <c r="N121" s="185">
        <f t="shared" si="47"/>
        <v>0</v>
      </c>
      <c r="O121" s="184">
        <f t="shared" si="62"/>
        <v>260000</v>
      </c>
      <c r="P121" s="184">
        <f t="shared" si="63"/>
        <v>260000</v>
      </c>
      <c r="Q121" s="184">
        <f t="shared" si="64"/>
        <v>260000</v>
      </c>
      <c r="R121" s="186">
        <f t="shared" si="65"/>
        <v>260000</v>
      </c>
      <c r="S121" s="183">
        <f t="shared" si="45"/>
        <v>763000</v>
      </c>
      <c r="T121" s="187">
        <f>ROUNDDOWN((S121/24*1.059)+(VLOOKUP(I121,구분자!$P:$Q,2,FALSE)*0.75),-3)</f>
        <v>61000</v>
      </c>
      <c r="W121" s="124"/>
    </row>
    <row r="122" spans="1:23" s="2" customFormat="1" ht="25.05" customHeight="1">
      <c r="A122" s="115" t="s">
        <v>1401</v>
      </c>
      <c r="B122" s="120">
        <f>VLOOKUP($A122,출고가!$C:$E,3,FALSE)</f>
        <v>1177000</v>
      </c>
      <c r="C122" s="120" t="str">
        <f t="shared" si="61"/>
        <v>AIP16-256베이직</v>
      </c>
      <c r="D122" s="125"/>
      <c r="E122" s="130" t="s">
        <v>229</v>
      </c>
      <c r="F122" s="213" t="str">
        <f>A122</f>
        <v>AIP16-256</v>
      </c>
      <c r="G122" s="213" t="str">
        <f>VLOOKUP(F122,출고가!C:D,2,0)</f>
        <v>iPhone 16 256G</v>
      </c>
      <c r="H122" s="131">
        <f>B122</f>
        <v>1177000</v>
      </c>
      <c r="I122" s="169" t="s">
        <v>357</v>
      </c>
      <c r="J122" s="170" t="s">
        <v>1521</v>
      </c>
      <c r="K122" s="190">
        <v>450000</v>
      </c>
      <c r="L122" s="190">
        <v>450000</v>
      </c>
      <c r="M122" s="190">
        <v>450000</v>
      </c>
      <c r="N122" s="171">
        <f t="shared" si="47"/>
        <v>0</v>
      </c>
      <c r="O122" s="172">
        <f t="shared" si="62"/>
        <v>450000</v>
      </c>
      <c r="P122" s="172">
        <f t="shared" si="63"/>
        <v>450000</v>
      </c>
      <c r="Q122" s="172">
        <f t="shared" si="64"/>
        <v>450000</v>
      </c>
      <c r="R122" s="173">
        <f t="shared" si="65"/>
        <v>450000</v>
      </c>
      <c r="S122" s="174">
        <f t="shared" si="45"/>
        <v>727000</v>
      </c>
      <c r="T122" s="175">
        <f>ROUNDDOWN((S122/24*1.059)+(VLOOKUP(I122,구분자!$P:$Q,2,FALSE)*0.75),-3)</f>
        <v>92000</v>
      </c>
      <c r="W122" s="124"/>
    </row>
    <row r="123" spans="1:23" s="2" customFormat="1" ht="25.05" customHeight="1">
      <c r="A123" s="115" t="s">
        <v>1401</v>
      </c>
      <c r="B123" s="120">
        <f>VLOOKUP($A123,출고가!$C:$E,3,FALSE)</f>
        <v>1177000</v>
      </c>
      <c r="C123" s="120" t="str">
        <f t="shared" si="61"/>
        <v>AIP16-256심플30G</v>
      </c>
      <c r="D123" s="125"/>
      <c r="E123" s="126"/>
      <c r="F123" s="211"/>
      <c r="G123" s="211"/>
      <c r="H123" s="127"/>
      <c r="I123" s="176" t="s">
        <v>988</v>
      </c>
      <c r="J123" s="177" t="s">
        <v>1522</v>
      </c>
      <c r="K123" s="178">
        <v>380000</v>
      </c>
      <c r="L123" s="178">
        <v>380000</v>
      </c>
      <c r="M123" s="178">
        <v>380000</v>
      </c>
      <c r="N123" s="179">
        <f t="shared" si="47"/>
        <v>0</v>
      </c>
      <c r="O123" s="178">
        <f t="shared" si="62"/>
        <v>380000</v>
      </c>
      <c r="P123" s="178">
        <f t="shared" si="63"/>
        <v>380000</v>
      </c>
      <c r="Q123" s="178">
        <f t="shared" si="64"/>
        <v>380000</v>
      </c>
      <c r="R123" s="180">
        <f t="shared" si="65"/>
        <v>380000</v>
      </c>
      <c r="S123" s="177">
        <f t="shared" si="45"/>
        <v>797000</v>
      </c>
      <c r="T123" s="181">
        <f>ROUNDDOWN((S123/24*1.059)+(VLOOKUP(I123,구분자!$P:$Q,2,FALSE)*0.75),-3)</f>
        <v>80000</v>
      </c>
      <c r="W123" s="124"/>
    </row>
    <row r="124" spans="1:23" s="2" customFormat="1" ht="25.05" customHeight="1">
      <c r="A124" s="115" t="s">
        <v>1401</v>
      </c>
      <c r="B124" s="120">
        <f>VLOOKUP($A124,출고가!$C:$E,3,FALSE)</f>
        <v>1177000</v>
      </c>
      <c r="C124" s="120" t="str">
        <f t="shared" si="61"/>
        <v>AIP16-256슬림10G</v>
      </c>
      <c r="D124" s="125"/>
      <c r="E124" s="126"/>
      <c r="F124" s="211"/>
      <c r="G124" s="211"/>
      <c r="H124" s="127"/>
      <c r="I124" s="176" t="s">
        <v>992</v>
      </c>
      <c r="J124" s="177" t="s">
        <v>1523</v>
      </c>
      <c r="K124" s="178">
        <v>310000</v>
      </c>
      <c r="L124" s="178">
        <v>310000</v>
      </c>
      <c r="M124" s="178">
        <v>310000</v>
      </c>
      <c r="N124" s="179">
        <f t="shared" si="47"/>
        <v>0</v>
      </c>
      <c r="O124" s="178">
        <f t="shared" si="62"/>
        <v>310000</v>
      </c>
      <c r="P124" s="178">
        <f t="shared" si="63"/>
        <v>310000</v>
      </c>
      <c r="Q124" s="178">
        <f t="shared" si="64"/>
        <v>310000</v>
      </c>
      <c r="R124" s="180">
        <f t="shared" si="65"/>
        <v>310000</v>
      </c>
      <c r="S124" s="177">
        <f t="shared" si="45"/>
        <v>867000</v>
      </c>
      <c r="T124" s="181">
        <f>ROUNDDOWN((S124/24*1.059)+(VLOOKUP(I124,구분자!$P:$Q,2,FALSE)*0.75),-3)</f>
        <v>75000</v>
      </c>
      <c r="W124" s="124"/>
    </row>
    <row r="125" spans="1:23" s="2" customFormat="1" ht="25.05" customHeight="1">
      <c r="A125" s="115" t="s">
        <v>1401</v>
      </c>
      <c r="B125" s="120">
        <f>VLOOKUP($A125,출고가!$C:$E,3,FALSE)</f>
        <v>1177000</v>
      </c>
      <c r="C125" s="120" t="str">
        <f t="shared" si="61"/>
        <v>AIP16-256슬림4G</v>
      </c>
      <c r="D125" s="125"/>
      <c r="E125" s="128"/>
      <c r="F125" s="212"/>
      <c r="G125" s="212"/>
      <c r="H125" s="129"/>
      <c r="I125" s="182" t="s">
        <v>990</v>
      </c>
      <c r="J125" s="183" t="s">
        <v>1524</v>
      </c>
      <c r="K125" s="184">
        <v>260000</v>
      </c>
      <c r="L125" s="184">
        <v>260000</v>
      </c>
      <c r="M125" s="184">
        <v>260000</v>
      </c>
      <c r="N125" s="185">
        <f t="shared" si="47"/>
        <v>0</v>
      </c>
      <c r="O125" s="184">
        <f t="shared" si="62"/>
        <v>260000</v>
      </c>
      <c r="P125" s="184">
        <f t="shared" si="63"/>
        <v>260000</v>
      </c>
      <c r="Q125" s="184">
        <f t="shared" si="64"/>
        <v>260000</v>
      </c>
      <c r="R125" s="186">
        <f t="shared" si="65"/>
        <v>260000</v>
      </c>
      <c r="S125" s="183">
        <f t="shared" si="45"/>
        <v>917000</v>
      </c>
      <c r="T125" s="187">
        <f>ROUNDDOWN((S125/24*1.059)+(VLOOKUP(I125,구분자!$P:$Q,2,FALSE)*0.75),-3)</f>
        <v>68000</v>
      </c>
      <c r="W125" s="124"/>
    </row>
    <row r="126" spans="1:23" s="2" customFormat="1" ht="25.05" customHeight="1">
      <c r="A126" s="115" t="s">
        <v>1403</v>
      </c>
      <c r="B126" s="120">
        <f>VLOOKUP($A126,출고가!$C:$E,3,FALSE)</f>
        <v>1474000</v>
      </c>
      <c r="C126" s="120" t="str">
        <f t="shared" si="61"/>
        <v>AIP16-512베이직</v>
      </c>
      <c r="D126" s="125"/>
      <c r="E126" s="130" t="s">
        <v>229</v>
      </c>
      <c r="F126" s="213" t="str">
        <f>A126</f>
        <v>AIP16-512</v>
      </c>
      <c r="G126" s="213" t="str">
        <f>VLOOKUP(F126,출고가!C:D,2,0)</f>
        <v>iPhone 16 512G</v>
      </c>
      <c r="H126" s="131">
        <f>B126</f>
        <v>1474000</v>
      </c>
      <c r="I126" s="169" t="s">
        <v>357</v>
      </c>
      <c r="J126" s="170" t="s">
        <v>1521</v>
      </c>
      <c r="K126" s="190">
        <v>450000</v>
      </c>
      <c r="L126" s="190">
        <v>450000</v>
      </c>
      <c r="M126" s="190">
        <v>450000</v>
      </c>
      <c r="N126" s="171">
        <f t="shared" si="47"/>
        <v>0</v>
      </c>
      <c r="O126" s="172">
        <f t="shared" si="62"/>
        <v>450000</v>
      </c>
      <c r="P126" s="172">
        <f t="shared" si="63"/>
        <v>450000</v>
      </c>
      <c r="Q126" s="172">
        <f t="shared" si="64"/>
        <v>450000</v>
      </c>
      <c r="R126" s="173">
        <f t="shared" si="65"/>
        <v>450000</v>
      </c>
      <c r="S126" s="174">
        <f t="shared" si="45"/>
        <v>1024000</v>
      </c>
      <c r="T126" s="175">
        <f>ROUNDDOWN((S126/24*1.059)+(VLOOKUP(I126,구분자!$P:$Q,2,FALSE)*0.75),-3)</f>
        <v>105000</v>
      </c>
      <c r="W126" s="124"/>
    </row>
    <row r="127" spans="1:23" s="2" customFormat="1" ht="25.05" customHeight="1">
      <c r="A127" s="115" t="s">
        <v>1403</v>
      </c>
      <c r="B127" s="120">
        <f>VLOOKUP($A127,출고가!$C:$E,3,FALSE)</f>
        <v>1474000</v>
      </c>
      <c r="C127" s="120" t="str">
        <f t="shared" si="61"/>
        <v>AIP16-512심플30G</v>
      </c>
      <c r="D127" s="125"/>
      <c r="E127" s="126"/>
      <c r="F127" s="211"/>
      <c r="G127" s="211"/>
      <c r="H127" s="127"/>
      <c r="I127" s="176" t="s">
        <v>988</v>
      </c>
      <c r="J127" s="177" t="s">
        <v>1522</v>
      </c>
      <c r="K127" s="178">
        <v>380000</v>
      </c>
      <c r="L127" s="178">
        <v>380000</v>
      </c>
      <c r="M127" s="178">
        <v>380000</v>
      </c>
      <c r="N127" s="179">
        <f t="shared" si="47"/>
        <v>0</v>
      </c>
      <c r="O127" s="178">
        <f t="shared" si="62"/>
        <v>380000</v>
      </c>
      <c r="P127" s="178">
        <f t="shared" si="63"/>
        <v>380000</v>
      </c>
      <c r="Q127" s="178">
        <f t="shared" si="64"/>
        <v>380000</v>
      </c>
      <c r="R127" s="180">
        <f t="shared" si="65"/>
        <v>380000</v>
      </c>
      <c r="S127" s="177">
        <f t="shared" ref="S127:S158" si="66">IF(B127-R127&gt;0,B127-R127,0)</f>
        <v>1094000</v>
      </c>
      <c r="T127" s="181">
        <f>ROUNDDOWN((S127/24*1.059)+(VLOOKUP(I127,구분자!$P:$Q,2,FALSE)*0.75),-3)</f>
        <v>94000</v>
      </c>
      <c r="W127" s="124"/>
    </row>
    <row r="128" spans="1:23" s="2" customFormat="1" ht="25.05" customHeight="1">
      <c r="A128" s="115" t="s">
        <v>1403</v>
      </c>
      <c r="B128" s="120">
        <f>VLOOKUP($A128,출고가!$C:$E,3,FALSE)</f>
        <v>1474000</v>
      </c>
      <c r="C128" s="120" t="str">
        <f t="shared" si="61"/>
        <v>AIP16-512슬림10G</v>
      </c>
      <c r="D128" s="125"/>
      <c r="E128" s="126"/>
      <c r="F128" s="211"/>
      <c r="G128" s="211"/>
      <c r="H128" s="127"/>
      <c r="I128" s="176" t="s">
        <v>992</v>
      </c>
      <c r="J128" s="177" t="s">
        <v>1523</v>
      </c>
      <c r="K128" s="178">
        <v>310000</v>
      </c>
      <c r="L128" s="178">
        <v>310000</v>
      </c>
      <c r="M128" s="178">
        <v>310000</v>
      </c>
      <c r="N128" s="179">
        <f t="shared" si="47"/>
        <v>0</v>
      </c>
      <c r="O128" s="178">
        <f t="shared" si="62"/>
        <v>310000</v>
      </c>
      <c r="P128" s="178">
        <f t="shared" si="63"/>
        <v>310000</v>
      </c>
      <c r="Q128" s="178">
        <f t="shared" si="64"/>
        <v>310000</v>
      </c>
      <c r="R128" s="180">
        <f t="shared" si="65"/>
        <v>310000</v>
      </c>
      <c r="S128" s="177">
        <f t="shared" si="66"/>
        <v>1164000</v>
      </c>
      <c r="T128" s="181">
        <f>ROUNDDOWN((S128/24*1.059)+(VLOOKUP(I128,구분자!$P:$Q,2,FALSE)*0.75),-3)</f>
        <v>88000</v>
      </c>
      <c r="W128" s="124"/>
    </row>
    <row r="129" spans="1:23" s="2" customFormat="1" ht="25.05" customHeight="1">
      <c r="A129" s="115" t="s">
        <v>1403</v>
      </c>
      <c r="B129" s="120">
        <f>VLOOKUP($A129,출고가!$C:$E,3,FALSE)</f>
        <v>1474000</v>
      </c>
      <c r="C129" s="120" t="str">
        <f t="shared" si="61"/>
        <v>AIP16-512슬림4G</v>
      </c>
      <c r="D129" s="125"/>
      <c r="E129" s="128"/>
      <c r="F129" s="212"/>
      <c r="G129" s="212"/>
      <c r="H129" s="129"/>
      <c r="I129" s="182" t="s">
        <v>990</v>
      </c>
      <c r="J129" s="183" t="s">
        <v>1524</v>
      </c>
      <c r="K129" s="184">
        <v>260000</v>
      </c>
      <c r="L129" s="184">
        <v>260000</v>
      </c>
      <c r="M129" s="184">
        <v>260000</v>
      </c>
      <c r="N129" s="185">
        <f t="shared" si="47"/>
        <v>0</v>
      </c>
      <c r="O129" s="184">
        <f t="shared" si="62"/>
        <v>260000</v>
      </c>
      <c r="P129" s="184">
        <f t="shared" si="63"/>
        <v>260000</v>
      </c>
      <c r="Q129" s="184">
        <f t="shared" si="64"/>
        <v>260000</v>
      </c>
      <c r="R129" s="186">
        <f t="shared" si="65"/>
        <v>260000</v>
      </c>
      <c r="S129" s="183">
        <f t="shared" si="66"/>
        <v>1214000</v>
      </c>
      <c r="T129" s="187">
        <f>ROUNDDOWN((S129/24*1.059)+(VLOOKUP(I129,구분자!$P:$Q,2,FALSE)*0.75),-3)</f>
        <v>81000</v>
      </c>
      <c r="W129" s="124"/>
    </row>
    <row r="130" spans="1:23" s="2" customFormat="1" ht="25.05" customHeight="1">
      <c r="A130" s="115" t="s">
        <v>1405</v>
      </c>
      <c r="B130" s="120">
        <f>VLOOKUP($A130,출고가!$C:$E,3,FALSE)</f>
        <v>1122000</v>
      </c>
      <c r="C130" s="120" t="str">
        <f t="shared" si="61"/>
        <v>AIP16PS-128베이직</v>
      </c>
      <c r="D130" s="125"/>
      <c r="E130" s="130" t="s">
        <v>229</v>
      </c>
      <c r="F130" s="213" t="str">
        <f>A130</f>
        <v>AIP16PS-128</v>
      </c>
      <c r="G130" s="213" t="str">
        <f>VLOOKUP(F130,출고가!C:D,2,0)</f>
        <v>iPhone 16 Plus 128G</v>
      </c>
      <c r="H130" s="131">
        <f>B130</f>
        <v>1122000</v>
      </c>
      <c r="I130" s="169" t="s">
        <v>357</v>
      </c>
      <c r="J130" s="170" t="s">
        <v>1521</v>
      </c>
      <c r="K130" s="190">
        <v>450000</v>
      </c>
      <c r="L130" s="190">
        <v>450000</v>
      </c>
      <c r="M130" s="190">
        <v>450000</v>
      </c>
      <c r="N130" s="171">
        <f t="shared" si="47"/>
        <v>0</v>
      </c>
      <c r="O130" s="172">
        <f t="shared" si="62"/>
        <v>450000</v>
      </c>
      <c r="P130" s="172">
        <f t="shared" si="63"/>
        <v>450000</v>
      </c>
      <c r="Q130" s="172">
        <f t="shared" si="64"/>
        <v>450000</v>
      </c>
      <c r="R130" s="173">
        <f t="shared" si="65"/>
        <v>450000</v>
      </c>
      <c r="S130" s="174">
        <f t="shared" si="66"/>
        <v>672000</v>
      </c>
      <c r="T130" s="175">
        <f>ROUNDDOWN((S130/24*1.059)+(VLOOKUP(I130,구분자!$P:$Q,2,FALSE)*0.75),-3)</f>
        <v>89000</v>
      </c>
      <c r="W130" s="124"/>
    </row>
    <row r="131" spans="1:23" s="2" customFormat="1" ht="25.05" customHeight="1">
      <c r="A131" s="115" t="s">
        <v>1405</v>
      </c>
      <c r="B131" s="120">
        <f>VLOOKUP($A131,출고가!$C:$E,3,FALSE)</f>
        <v>1122000</v>
      </c>
      <c r="C131" s="120" t="str">
        <f t="shared" si="61"/>
        <v>AIP16PS-128심플30G</v>
      </c>
      <c r="D131" s="125"/>
      <c r="E131" s="126"/>
      <c r="F131" s="208"/>
      <c r="G131" s="168"/>
      <c r="H131" s="127"/>
      <c r="I131" s="176" t="s">
        <v>988</v>
      </c>
      <c r="J131" s="177" t="s">
        <v>1522</v>
      </c>
      <c r="K131" s="178">
        <v>380000</v>
      </c>
      <c r="L131" s="178">
        <v>380000</v>
      </c>
      <c r="M131" s="178">
        <v>380000</v>
      </c>
      <c r="N131" s="179">
        <f t="shared" si="47"/>
        <v>0</v>
      </c>
      <c r="O131" s="178">
        <f t="shared" si="62"/>
        <v>380000</v>
      </c>
      <c r="P131" s="178">
        <f t="shared" si="63"/>
        <v>380000</v>
      </c>
      <c r="Q131" s="178">
        <f t="shared" si="64"/>
        <v>380000</v>
      </c>
      <c r="R131" s="180">
        <f t="shared" si="65"/>
        <v>380000</v>
      </c>
      <c r="S131" s="177">
        <f t="shared" si="66"/>
        <v>742000</v>
      </c>
      <c r="T131" s="181">
        <f>ROUNDDOWN((S131/24*1.059)+(VLOOKUP(I131,구분자!$P:$Q,2,FALSE)*0.75),-3)</f>
        <v>78000</v>
      </c>
      <c r="W131" s="124"/>
    </row>
    <row r="132" spans="1:23" s="2" customFormat="1" ht="25.05" customHeight="1">
      <c r="A132" s="115" t="s">
        <v>1405</v>
      </c>
      <c r="B132" s="120">
        <f>VLOOKUP($A132,출고가!$C:$E,3,FALSE)</f>
        <v>1122000</v>
      </c>
      <c r="C132" s="120" t="str">
        <f t="shared" si="61"/>
        <v>AIP16PS-128슬림10G</v>
      </c>
      <c r="D132" s="125"/>
      <c r="E132" s="126"/>
      <c r="F132" s="208"/>
      <c r="G132" s="168"/>
      <c r="H132" s="127"/>
      <c r="I132" s="176" t="s">
        <v>992</v>
      </c>
      <c r="J132" s="177" t="s">
        <v>1523</v>
      </c>
      <c r="K132" s="178">
        <v>310000</v>
      </c>
      <c r="L132" s="178">
        <v>310000</v>
      </c>
      <c r="M132" s="178">
        <v>310000</v>
      </c>
      <c r="N132" s="179">
        <f t="shared" si="47"/>
        <v>0</v>
      </c>
      <c r="O132" s="178">
        <f t="shared" si="62"/>
        <v>310000</v>
      </c>
      <c r="P132" s="178">
        <f t="shared" si="63"/>
        <v>310000</v>
      </c>
      <c r="Q132" s="178">
        <f t="shared" si="64"/>
        <v>310000</v>
      </c>
      <c r="R132" s="180">
        <f t="shared" si="65"/>
        <v>310000</v>
      </c>
      <c r="S132" s="177">
        <f t="shared" si="66"/>
        <v>812000</v>
      </c>
      <c r="T132" s="181">
        <f>ROUNDDOWN((S132/24*1.059)+(VLOOKUP(I132,구분자!$P:$Q,2,FALSE)*0.75),-3)</f>
        <v>73000</v>
      </c>
      <c r="W132" s="124"/>
    </row>
    <row r="133" spans="1:23" s="2" customFormat="1" ht="25.05" customHeight="1">
      <c r="A133" s="115" t="s">
        <v>1405</v>
      </c>
      <c r="B133" s="120">
        <f>VLOOKUP($A133,출고가!$C:$E,3,FALSE)</f>
        <v>1122000</v>
      </c>
      <c r="C133" s="120" t="str">
        <f t="shared" si="61"/>
        <v>AIP16PS-128슬림4G</v>
      </c>
      <c r="D133" s="125"/>
      <c r="E133" s="128"/>
      <c r="F133" s="209"/>
      <c r="G133" s="209"/>
      <c r="H133" s="129"/>
      <c r="I133" s="182" t="s">
        <v>990</v>
      </c>
      <c r="J133" s="183" t="s">
        <v>1524</v>
      </c>
      <c r="K133" s="184">
        <v>260000</v>
      </c>
      <c r="L133" s="184">
        <v>260000</v>
      </c>
      <c r="M133" s="184">
        <v>260000</v>
      </c>
      <c r="N133" s="185">
        <f t="shared" si="47"/>
        <v>0</v>
      </c>
      <c r="O133" s="184">
        <f t="shared" si="62"/>
        <v>260000</v>
      </c>
      <c r="P133" s="184">
        <f t="shared" si="63"/>
        <v>260000</v>
      </c>
      <c r="Q133" s="184">
        <f t="shared" si="64"/>
        <v>260000</v>
      </c>
      <c r="R133" s="186">
        <f t="shared" si="65"/>
        <v>260000</v>
      </c>
      <c r="S133" s="183">
        <f t="shared" si="66"/>
        <v>862000</v>
      </c>
      <c r="T133" s="187">
        <f>ROUNDDOWN((S133/24*1.059)+(VLOOKUP(I133,구분자!$P:$Q,2,FALSE)*0.75),-3)</f>
        <v>65000</v>
      </c>
      <c r="W133" s="124"/>
    </row>
    <row r="134" spans="1:23" s="2" customFormat="1" ht="25.05" customHeight="1">
      <c r="A134" s="115" t="s">
        <v>1407</v>
      </c>
      <c r="B134" s="120">
        <f>VLOOKUP($A134,출고가!$C:$E,3,FALSE)</f>
        <v>1276000</v>
      </c>
      <c r="C134" s="120" t="str">
        <f t="shared" si="61"/>
        <v>AIP16PS-256베이직</v>
      </c>
      <c r="D134" s="125"/>
      <c r="E134" s="130" t="s">
        <v>229</v>
      </c>
      <c r="F134" s="213" t="str">
        <f>A134</f>
        <v>AIP16PS-256</v>
      </c>
      <c r="G134" s="213" t="str">
        <f>VLOOKUP(F134,출고가!C:D,2,0)</f>
        <v>iPhone 16 Plus 256G</v>
      </c>
      <c r="H134" s="131">
        <f>B134</f>
        <v>1276000</v>
      </c>
      <c r="I134" s="169" t="s">
        <v>357</v>
      </c>
      <c r="J134" s="170" t="s">
        <v>1521</v>
      </c>
      <c r="K134" s="190">
        <v>450000</v>
      </c>
      <c r="L134" s="190">
        <v>450000</v>
      </c>
      <c r="M134" s="190">
        <v>450000</v>
      </c>
      <c r="N134" s="171">
        <f t="shared" si="47"/>
        <v>0</v>
      </c>
      <c r="O134" s="172">
        <f t="shared" si="62"/>
        <v>450000</v>
      </c>
      <c r="P134" s="172">
        <f t="shared" si="63"/>
        <v>450000</v>
      </c>
      <c r="Q134" s="172">
        <f t="shared" si="64"/>
        <v>450000</v>
      </c>
      <c r="R134" s="173">
        <f t="shared" si="65"/>
        <v>450000</v>
      </c>
      <c r="S134" s="174">
        <f t="shared" si="66"/>
        <v>826000</v>
      </c>
      <c r="T134" s="175">
        <f>ROUNDDOWN((S134/24*1.059)+(VLOOKUP(I134,구분자!$P:$Q,2,FALSE)*0.75),-3)</f>
        <v>96000</v>
      </c>
      <c r="W134" s="124"/>
    </row>
    <row r="135" spans="1:23" s="2" customFormat="1" ht="25.05" customHeight="1">
      <c r="A135" s="115" t="s">
        <v>1407</v>
      </c>
      <c r="B135" s="120">
        <f>VLOOKUP($A135,출고가!$C:$E,3,FALSE)</f>
        <v>1276000</v>
      </c>
      <c r="C135" s="120" t="str">
        <f t="shared" si="61"/>
        <v>AIP16PS-256심플30G</v>
      </c>
      <c r="D135" s="125"/>
      <c r="E135" s="126"/>
      <c r="F135" s="211"/>
      <c r="G135" s="211"/>
      <c r="H135" s="127"/>
      <c r="I135" s="176" t="s">
        <v>988</v>
      </c>
      <c r="J135" s="177" t="s">
        <v>1522</v>
      </c>
      <c r="K135" s="178">
        <v>380000</v>
      </c>
      <c r="L135" s="178">
        <v>380000</v>
      </c>
      <c r="M135" s="178">
        <v>380000</v>
      </c>
      <c r="N135" s="179">
        <f t="shared" si="47"/>
        <v>0</v>
      </c>
      <c r="O135" s="178">
        <f t="shared" si="62"/>
        <v>380000</v>
      </c>
      <c r="P135" s="178">
        <f t="shared" si="63"/>
        <v>380000</v>
      </c>
      <c r="Q135" s="178">
        <f t="shared" si="64"/>
        <v>380000</v>
      </c>
      <c r="R135" s="180">
        <f t="shared" si="65"/>
        <v>380000</v>
      </c>
      <c r="S135" s="177">
        <f t="shared" si="66"/>
        <v>896000</v>
      </c>
      <c r="T135" s="181">
        <f>ROUNDDOWN((S135/24*1.059)+(VLOOKUP(I135,구분자!$P:$Q,2,FALSE)*0.75),-3)</f>
        <v>85000</v>
      </c>
      <c r="W135" s="124"/>
    </row>
    <row r="136" spans="1:23" s="2" customFormat="1" ht="25.05" customHeight="1">
      <c r="A136" s="115" t="s">
        <v>1407</v>
      </c>
      <c r="B136" s="120">
        <f>VLOOKUP($A136,출고가!$C:$E,3,FALSE)</f>
        <v>1276000</v>
      </c>
      <c r="C136" s="120" t="str">
        <f t="shared" si="61"/>
        <v>AIP16PS-256슬림10G</v>
      </c>
      <c r="D136" s="125"/>
      <c r="E136" s="126"/>
      <c r="F136" s="211"/>
      <c r="G136" s="211"/>
      <c r="H136" s="127"/>
      <c r="I136" s="176" t="s">
        <v>992</v>
      </c>
      <c r="J136" s="177" t="s">
        <v>1523</v>
      </c>
      <c r="K136" s="178">
        <v>310000</v>
      </c>
      <c r="L136" s="178">
        <v>310000</v>
      </c>
      <c r="M136" s="178">
        <v>310000</v>
      </c>
      <c r="N136" s="179">
        <f t="shared" si="47"/>
        <v>0</v>
      </c>
      <c r="O136" s="178">
        <f t="shared" si="62"/>
        <v>310000</v>
      </c>
      <c r="P136" s="178">
        <f t="shared" si="63"/>
        <v>310000</v>
      </c>
      <c r="Q136" s="178">
        <f t="shared" si="64"/>
        <v>310000</v>
      </c>
      <c r="R136" s="180">
        <f t="shared" si="65"/>
        <v>310000</v>
      </c>
      <c r="S136" s="177">
        <f t="shared" si="66"/>
        <v>966000</v>
      </c>
      <c r="T136" s="181">
        <f>ROUNDDOWN((S136/24*1.059)+(VLOOKUP(I136,구분자!$P:$Q,2,FALSE)*0.75),-3)</f>
        <v>80000</v>
      </c>
      <c r="W136" s="124"/>
    </row>
    <row r="137" spans="1:23" s="2" customFormat="1" ht="25.05" customHeight="1">
      <c r="A137" s="115" t="s">
        <v>1407</v>
      </c>
      <c r="B137" s="120">
        <f>VLOOKUP($A137,출고가!$C:$E,3,FALSE)</f>
        <v>1276000</v>
      </c>
      <c r="C137" s="120" t="str">
        <f t="shared" si="61"/>
        <v>AIP16PS-256슬림4G</v>
      </c>
      <c r="D137" s="125"/>
      <c r="E137" s="128"/>
      <c r="F137" s="212"/>
      <c r="G137" s="212"/>
      <c r="H137" s="129"/>
      <c r="I137" s="182" t="s">
        <v>990</v>
      </c>
      <c r="J137" s="183" t="s">
        <v>1524</v>
      </c>
      <c r="K137" s="184">
        <v>260000</v>
      </c>
      <c r="L137" s="184">
        <v>260000</v>
      </c>
      <c r="M137" s="184">
        <v>260000</v>
      </c>
      <c r="N137" s="185">
        <f t="shared" si="47"/>
        <v>0</v>
      </c>
      <c r="O137" s="184">
        <f t="shared" si="62"/>
        <v>260000</v>
      </c>
      <c r="P137" s="184">
        <f t="shared" si="63"/>
        <v>260000</v>
      </c>
      <c r="Q137" s="184">
        <f t="shared" si="64"/>
        <v>260000</v>
      </c>
      <c r="R137" s="186">
        <f t="shared" si="65"/>
        <v>260000</v>
      </c>
      <c r="S137" s="183">
        <f t="shared" si="66"/>
        <v>1016000</v>
      </c>
      <c r="T137" s="187">
        <f>ROUNDDOWN((S137/24*1.059)+(VLOOKUP(I137,구분자!$P:$Q,2,FALSE)*0.75),-3)</f>
        <v>72000</v>
      </c>
      <c r="W137" s="124"/>
    </row>
    <row r="138" spans="1:23" s="2" customFormat="1" ht="25.05" customHeight="1">
      <c r="A138" s="115" t="s">
        <v>1409</v>
      </c>
      <c r="B138" s="120">
        <f>VLOOKUP($A138,출고가!$C:$E,3,FALSE)</f>
        <v>1573000</v>
      </c>
      <c r="C138" s="120" t="str">
        <f t="shared" si="61"/>
        <v>AIP16PS-512베이직</v>
      </c>
      <c r="D138" s="125"/>
      <c r="E138" s="130" t="s">
        <v>229</v>
      </c>
      <c r="F138" s="213" t="str">
        <f>A138</f>
        <v>AIP16PS-512</v>
      </c>
      <c r="G138" s="213" t="str">
        <f>VLOOKUP(F138,출고가!C:D,2,0)</f>
        <v>iPhone 16 Plus 512G</v>
      </c>
      <c r="H138" s="131">
        <f>B138</f>
        <v>1573000</v>
      </c>
      <c r="I138" s="169" t="s">
        <v>357</v>
      </c>
      <c r="J138" s="170" t="s">
        <v>1521</v>
      </c>
      <c r="K138" s="190">
        <v>450000</v>
      </c>
      <c r="L138" s="190">
        <v>450000</v>
      </c>
      <c r="M138" s="190">
        <v>450000</v>
      </c>
      <c r="N138" s="171">
        <f t="shared" si="47"/>
        <v>0</v>
      </c>
      <c r="O138" s="172">
        <f t="shared" si="62"/>
        <v>450000</v>
      </c>
      <c r="P138" s="172">
        <f t="shared" si="63"/>
        <v>450000</v>
      </c>
      <c r="Q138" s="172">
        <f t="shared" si="64"/>
        <v>450000</v>
      </c>
      <c r="R138" s="173">
        <f t="shared" si="65"/>
        <v>450000</v>
      </c>
      <c r="S138" s="174">
        <f t="shared" si="66"/>
        <v>1123000</v>
      </c>
      <c r="T138" s="175">
        <f>ROUNDDOWN((S138/24*1.059)+(VLOOKUP(I138,구분자!$P:$Q,2,FALSE)*0.75),-3)</f>
        <v>109000</v>
      </c>
      <c r="W138" s="124"/>
    </row>
    <row r="139" spans="1:23" s="2" customFormat="1" ht="25.05" customHeight="1">
      <c r="A139" s="115" t="s">
        <v>1409</v>
      </c>
      <c r="B139" s="120">
        <f>VLOOKUP($A139,출고가!$C:$E,3,FALSE)</f>
        <v>1573000</v>
      </c>
      <c r="C139" s="120" t="str">
        <f t="shared" si="61"/>
        <v>AIP16PS-512심플30G</v>
      </c>
      <c r="D139" s="125"/>
      <c r="E139" s="126"/>
      <c r="F139" s="211"/>
      <c r="G139" s="211"/>
      <c r="H139" s="127"/>
      <c r="I139" s="176" t="s">
        <v>988</v>
      </c>
      <c r="J139" s="177" t="s">
        <v>1522</v>
      </c>
      <c r="K139" s="178">
        <v>380000</v>
      </c>
      <c r="L139" s="178">
        <v>380000</v>
      </c>
      <c r="M139" s="178">
        <v>380000</v>
      </c>
      <c r="N139" s="179">
        <f t="shared" si="47"/>
        <v>0</v>
      </c>
      <c r="O139" s="178">
        <f t="shared" si="62"/>
        <v>380000</v>
      </c>
      <c r="P139" s="178">
        <f t="shared" si="63"/>
        <v>380000</v>
      </c>
      <c r="Q139" s="178">
        <f t="shared" si="64"/>
        <v>380000</v>
      </c>
      <c r="R139" s="180">
        <f t="shared" si="65"/>
        <v>380000</v>
      </c>
      <c r="S139" s="177">
        <f t="shared" si="66"/>
        <v>1193000</v>
      </c>
      <c r="T139" s="181">
        <f>ROUNDDOWN((S139/24*1.059)+(VLOOKUP(I139,구분자!$P:$Q,2,FALSE)*0.75),-3)</f>
        <v>98000</v>
      </c>
      <c r="W139" s="124"/>
    </row>
    <row r="140" spans="1:23" s="2" customFormat="1" ht="25.05" customHeight="1">
      <c r="A140" s="115" t="s">
        <v>1409</v>
      </c>
      <c r="B140" s="120">
        <f>VLOOKUP($A140,출고가!$C:$E,3,FALSE)</f>
        <v>1573000</v>
      </c>
      <c r="C140" s="120" t="str">
        <f t="shared" si="61"/>
        <v>AIP16PS-512슬림10G</v>
      </c>
      <c r="D140" s="125"/>
      <c r="E140" s="126"/>
      <c r="F140" s="211"/>
      <c r="G140" s="211"/>
      <c r="H140" s="127"/>
      <c r="I140" s="176" t="s">
        <v>992</v>
      </c>
      <c r="J140" s="177" t="s">
        <v>1523</v>
      </c>
      <c r="K140" s="178">
        <v>310000</v>
      </c>
      <c r="L140" s="178">
        <v>310000</v>
      </c>
      <c r="M140" s="178">
        <v>310000</v>
      </c>
      <c r="N140" s="179">
        <f t="shared" si="47"/>
        <v>0</v>
      </c>
      <c r="O140" s="178">
        <f t="shared" si="62"/>
        <v>310000</v>
      </c>
      <c r="P140" s="178">
        <f t="shared" si="63"/>
        <v>310000</v>
      </c>
      <c r="Q140" s="178">
        <f t="shared" si="64"/>
        <v>310000</v>
      </c>
      <c r="R140" s="180">
        <f t="shared" si="65"/>
        <v>310000</v>
      </c>
      <c r="S140" s="177">
        <f t="shared" si="66"/>
        <v>1263000</v>
      </c>
      <c r="T140" s="181">
        <f>ROUNDDOWN((S140/24*1.059)+(VLOOKUP(I140,구분자!$P:$Q,2,FALSE)*0.75),-3)</f>
        <v>93000</v>
      </c>
      <c r="W140" s="124"/>
    </row>
    <row r="141" spans="1:23" s="2" customFormat="1" ht="25.05" customHeight="1">
      <c r="A141" s="115" t="s">
        <v>1409</v>
      </c>
      <c r="B141" s="120">
        <f>VLOOKUP($A141,출고가!$C:$E,3,FALSE)</f>
        <v>1573000</v>
      </c>
      <c r="C141" s="120" t="str">
        <f t="shared" si="61"/>
        <v>AIP16PS-512슬림4G</v>
      </c>
      <c r="D141" s="125"/>
      <c r="E141" s="128"/>
      <c r="F141" s="212"/>
      <c r="G141" s="212"/>
      <c r="H141" s="129"/>
      <c r="I141" s="182" t="s">
        <v>990</v>
      </c>
      <c r="J141" s="183" t="s">
        <v>1524</v>
      </c>
      <c r="K141" s="184">
        <v>260000</v>
      </c>
      <c r="L141" s="184">
        <v>260000</v>
      </c>
      <c r="M141" s="184">
        <v>260000</v>
      </c>
      <c r="N141" s="185">
        <f t="shared" si="47"/>
        <v>0</v>
      </c>
      <c r="O141" s="184">
        <f t="shared" si="62"/>
        <v>260000</v>
      </c>
      <c r="P141" s="184">
        <f t="shared" si="63"/>
        <v>260000</v>
      </c>
      <c r="Q141" s="184">
        <f t="shared" si="64"/>
        <v>260000</v>
      </c>
      <c r="R141" s="186">
        <f t="shared" si="65"/>
        <v>260000</v>
      </c>
      <c r="S141" s="183">
        <f t="shared" si="66"/>
        <v>1313000</v>
      </c>
      <c r="T141" s="187">
        <f>ROUNDDOWN((S141/24*1.059)+(VLOOKUP(I141,구분자!$P:$Q,2,FALSE)*0.75),-3)</f>
        <v>85000</v>
      </c>
      <c r="W141" s="124"/>
    </row>
    <row r="142" spans="1:23" s="2" customFormat="1" ht="25.05" customHeight="1">
      <c r="A142" s="115" t="s">
        <v>1410</v>
      </c>
      <c r="B142" s="120">
        <f>VLOOKUP($A142,출고가!$C:$E,3,FALSE)</f>
        <v>1320000</v>
      </c>
      <c r="C142" s="120" t="str">
        <f t="shared" si="61"/>
        <v>AIP16P-128베이직</v>
      </c>
      <c r="D142" s="125"/>
      <c r="E142" s="130" t="s">
        <v>229</v>
      </c>
      <c r="F142" s="213" t="str">
        <f>A142</f>
        <v>AIP16P-128</v>
      </c>
      <c r="G142" s="213" t="str">
        <f>VLOOKUP(F142,출고가!C:D,2,0)</f>
        <v>iPhone 16 Pro 128G</v>
      </c>
      <c r="H142" s="131">
        <f>B142</f>
        <v>1320000</v>
      </c>
      <c r="I142" s="169" t="s">
        <v>357</v>
      </c>
      <c r="J142" s="170" t="s">
        <v>1521</v>
      </c>
      <c r="K142" s="190">
        <v>420000</v>
      </c>
      <c r="L142" s="190">
        <v>420000</v>
      </c>
      <c r="M142" s="190">
        <v>420000</v>
      </c>
      <c r="N142" s="171">
        <f t="shared" si="47"/>
        <v>0</v>
      </c>
      <c r="O142" s="172">
        <f t="shared" si="62"/>
        <v>420000</v>
      </c>
      <c r="P142" s="172">
        <f t="shared" si="63"/>
        <v>420000</v>
      </c>
      <c r="Q142" s="172">
        <f t="shared" si="64"/>
        <v>420000</v>
      </c>
      <c r="R142" s="173">
        <f t="shared" si="65"/>
        <v>420000</v>
      </c>
      <c r="S142" s="174">
        <f t="shared" si="66"/>
        <v>900000</v>
      </c>
      <c r="T142" s="175">
        <f>ROUNDDOWN((S142/24*1.059)+(VLOOKUP(I142,구분자!$P:$Q,2,FALSE)*0.75),-3)</f>
        <v>99000</v>
      </c>
      <c r="W142" s="124"/>
    </row>
    <row r="143" spans="1:23" s="2" customFormat="1" ht="25.05" customHeight="1">
      <c r="A143" s="115" t="s">
        <v>1410</v>
      </c>
      <c r="B143" s="120">
        <f>VLOOKUP($A143,출고가!$C:$E,3,FALSE)</f>
        <v>1320000</v>
      </c>
      <c r="C143" s="120" t="str">
        <f t="shared" si="61"/>
        <v>AIP16P-128심플30G</v>
      </c>
      <c r="D143" s="125"/>
      <c r="E143" s="126"/>
      <c r="F143" s="211"/>
      <c r="G143" s="211"/>
      <c r="H143" s="127"/>
      <c r="I143" s="176" t="s">
        <v>988</v>
      </c>
      <c r="J143" s="177" t="s">
        <v>1522</v>
      </c>
      <c r="K143" s="178">
        <v>350000</v>
      </c>
      <c r="L143" s="178">
        <v>350000</v>
      </c>
      <c r="M143" s="178">
        <v>350000</v>
      </c>
      <c r="N143" s="179">
        <f t="shared" si="47"/>
        <v>0</v>
      </c>
      <c r="O143" s="178">
        <f t="shared" si="62"/>
        <v>350000</v>
      </c>
      <c r="P143" s="178">
        <f t="shared" si="63"/>
        <v>350000</v>
      </c>
      <c r="Q143" s="178">
        <f t="shared" si="64"/>
        <v>350000</v>
      </c>
      <c r="R143" s="180">
        <f t="shared" si="65"/>
        <v>350000</v>
      </c>
      <c r="S143" s="177">
        <f t="shared" si="66"/>
        <v>970000</v>
      </c>
      <c r="T143" s="181">
        <f>ROUNDDOWN((S143/24*1.059)+(VLOOKUP(I143,구분자!$P:$Q,2,FALSE)*0.75),-3)</f>
        <v>88000</v>
      </c>
      <c r="W143" s="124"/>
    </row>
    <row r="144" spans="1:23" s="2" customFormat="1" ht="25.05" customHeight="1">
      <c r="A144" s="115" t="s">
        <v>1410</v>
      </c>
      <c r="B144" s="120">
        <f>VLOOKUP($A144,출고가!$C:$E,3,FALSE)</f>
        <v>1320000</v>
      </c>
      <c r="C144" s="120" t="str">
        <f t="shared" si="61"/>
        <v>AIP16P-128슬림10G</v>
      </c>
      <c r="D144" s="125"/>
      <c r="E144" s="126"/>
      <c r="F144" s="211"/>
      <c r="G144" s="211"/>
      <c r="H144" s="127"/>
      <c r="I144" s="176" t="s">
        <v>992</v>
      </c>
      <c r="J144" s="177" t="s">
        <v>1523</v>
      </c>
      <c r="K144" s="178">
        <v>280000</v>
      </c>
      <c r="L144" s="178">
        <v>280000</v>
      </c>
      <c r="M144" s="178">
        <v>280000</v>
      </c>
      <c r="N144" s="179">
        <f t="shared" si="47"/>
        <v>0</v>
      </c>
      <c r="O144" s="178">
        <f t="shared" si="62"/>
        <v>280000</v>
      </c>
      <c r="P144" s="178">
        <f t="shared" si="63"/>
        <v>280000</v>
      </c>
      <c r="Q144" s="178">
        <f t="shared" si="64"/>
        <v>280000</v>
      </c>
      <c r="R144" s="180">
        <f t="shared" si="65"/>
        <v>280000</v>
      </c>
      <c r="S144" s="177">
        <f t="shared" si="66"/>
        <v>1040000</v>
      </c>
      <c r="T144" s="181">
        <f>ROUNDDOWN((S144/24*1.059)+(VLOOKUP(I144,구분자!$P:$Q,2,FALSE)*0.75),-3)</f>
        <v>83000</v>
      </c>
      <c r="W144" s="124"/>
    </row>
    <row r="145" spans="1:23" s="2" customFormat="1" ht="25.05" customHeight="1">
      <c r="A145" s="115" t="s">
        <v>1410</v>
      </c>
      <c r="B145" s="120">
        <f>VLOOKUP($A145,출고가!$C:$E,3,FALSE)</f>
        <v>1320000</v>
      </c>
      <c r="C145" s="120" t="str">
        <f t="shared" si="61"/>
        <v>AIP16P-128슬림4G</v>
      </c>
      <c r="D145" s="125"/>
      <c r="E145" s="128"/>
      <c r="F145" s="212"/>
      <c r="G145" s="212"/>
      <c r="H145" s="129"/>
      <c r="I145" s="182" t="s">
        <v>990</v>
      </c>
      <c r="J145" s="183" t="s">
        <v>1524</v>
      </c>
      <c r="K145" s="184">
        <v>230000</v>
      </c>
      <c r="L145" s="184">
        <v>230000</v>
      </c>
      <c r="M145" s="184">
        <v>230000</v>
      </c>
      <c r="N145" s="185">
        <f t="shared" si="47"/>
        <v>0</v>
      </c>
      <c r="O145" s="184">
        <f t="shared" si="62"/>
        <v>230000</v>
      </c>
      <c r="P145" s="184">
        <f t="shared" si="63"/>
        <v>230000</v>
      </c>
      <c r="Q145" s="184">
        <f t="shared" si="64"/>
        <v>230000</v>
      </c>
      <c r="R145" s="186">
        <f t="shared" si="65"/>
        <v>230000</v>
      </c>
      <c r="S145" s="183">
        <f t="shared" si="66"/>
        <v>1090000</v>
      </c>
      <c r="T145" s="187">
        <f>ROUNDDOWN((S145/24*1.059)+(VLOOKUP(I145,구분자!$P:$Q,2,FALSE)*0.75),-3)</f>
        <v>75000</v>
      </c>
      <c r="W145" s="124"/>
    </row>
    <row r="146" spans="1:23" s="2" customFormat="1" ht="25.05" customHeight="1">
      <c r="A146" s="115" t="s">
        <v>1411</v>
      </c>
      <c r="B146" s="120">
        <f>VLOOKUP($A146,출고가!$C:$E,3,FALSE)</f>
        <v>1474000</v>
      </c>
      <c r="C146" s="120" t="str">
        <f t="shared" si="61"/>
        <v>AIP16P-256베이직</v>
      </c>
      <c r="D146" s="125"/>
      <c r="E146" s="130" t="s">
        <v>229</v>
      </c>
      <c r="F146" s="213" t="str">
        <f>A146</f>
        <v>AIP16P-256</v>
      </c>
      <c r="G146" s="213" t="str">
        <f>VLOOKUP(F146,출고가!C:D,2,0)</f>
        <v>iPhone 16 Pro 256G</v>
      </c>
      <c r="H146" s="131">
        <f>B146</f>
        <v>1474000</v>
      </c>
      <c r="I146" s="169" t="s">
        <v>357</v>
      </c>
      <c r="J146" s="170" t="s">
        <v>1521</v>
      </c>
      <c r="K146" s="190">
        <v>420000</v>
      </c>
      <c r="L146" s="190">
        <v>420000</v>
      </c>
      <c r="M146" s="190">
        <v>420000</v>
      </c>
      <c r="N146" s="171">
        <f t="shared" si="47"/>
        <v>0</v>
      </c>
      <c r="O146" s="172">
        <f t="shared" si="62"/>
        <v>420000</v>
      </c>
      <c r="P146" s="172">
        <f t="shared" si="63"/>
        <v>420000</v>
      </c>
      <c r="Q146" s="172">
        <f t="shared" si="64"/>
        <v>420000</v>
      </c>
      <c r="R146" s="173">
        <f t="shared" si="65"/>
        <v>420000</v>
      </c>
      <c r="S146" s="174">
        <f t="shared" si="66"/>
        <v>1054000</v>
      </c>
      <c r="T146" s="175">
        <f>ROUNDDOWN((S146/24*1.059)+(VLOOKUP(I146,구분자!$P:$Q,2,FALSE)*0.75),-3)</f>
        <v>106000</v>
      </c>
      <c r="W146" s="124"/>
    </row>
    <row r="147" spans="1:23" s="2" customFormat="1" ht="25.05" customHeight="1">
      <c r="A147" s="115" t="s">
        <v>1411</v>
      </c>
      <c r="B147" s="120">
        <f>VLOOKUP($A147,출고가!$C:$E,3,FALSE)</f>
        <v>1474000</v>
      </c>
      <c r="C147" s="120" t="str">
        <f t="shared" si="61"/>
        <v>AIP16P-256심플30G</v>
      </c>
      <c r="D147" s="125"/>
      <c r="E147" s="126"/>
      <c r="F147" s="211"/>
      <c r="G147" s="211"/>
      <c r="H147" s="127"/>
      <c r="I147" s="176" t="s">
        <v>988</v>
      </c>
      <c r="J147" s="177" t="s">
        <v>1522</v>
      </c>
      <c r="K147" s="178">
        <v>350000</v>
      </c>
      <c r="L147" s="178">
        <v>350000</v>
      </c>
      <c r="M147" s="178">
        <v>350000</v>
      </c>
      <c r="N147" s="179">
        <f t="shared" si="47"/>
        <v>0</v>
      </c>
      <c r="O147" s="178">
        <f t="shared" si="62"/>
        <v>350000</v>
      </c>
      <c r="P147" s="178">
        <f t="shared" si="63"/>
        <v>350000</v>
      </c>
      <c r="Q147" s="178">
        <f t="shared" si="64"/>
        <v>350000</v>
      </c>
      <c r="R147" s="180">
        <f t="shared" si="65"/>
        <v>350000</v>
      </c>
      <c r="S147" s="177">
        <f t="shared" si="66"/>
        <v>1124000</v>
      </c>
      <c r="T147" s="181">
        <f>ROUNDDOWN((S147/24*1.059)+(VLOOKUP(I147,구분자!$P:$Q,2,FALSE)*0.75),-3)</f>
        <v>95000</v>
      </c>
      <c r="W147" s="124"/>
    </row>
    <row r="148" spans="1:23" s="2" customFormat="1" ht="25.05" customHeight="1">
      <c r="A148" s="115" t="s">
        <v>1411</v>
      </c>
      <c r="B148" s="120">
        <f>VLOOKUP($A148,출고가!$C:$E,3,FALSE)</f>
        <v>1474000</v>
      </c>
      <c r="C148" s="120" t="str">
        <f t="shared" si="61"/>
        <v>AIP16P-256슬림10G</v>
      </c>
      <c r="D148" s="125"/>
      <c r="E148" s="126"/>
      <c r="F148" s="211"/>
      <c r="G148" s="211"/>
      <c r="H148" s="127"/>
      <c r="I148" s="176" t="s">
        <v>992</v>
      </c>
      <c r="J148" s="177" t="s">
        <v>1523</v>
      </c>
      <c r="K148" s="178">
        <v>280000</v>
      </c>
      <c r="L148" s="178">
        <v>280000</v>
      </c>
      <c r="M148" s="178">
        <v>280000</v>
      </c>
      <c r="N148" s="179">
        <f t="shared" si="47"/>
        <v>0</v>
      </c>
      <c r="O148" s="178">
        <f t="shared" si="62"/>
        <v>280000</v>
      </c>
      <c r="P148" s="178">
        <f t="shared" si="63"/>
        <v>280000</v>
      </c>
      <c r="Q148" s="178">
        <f t="shared" si="64"/>
        <v>280000</v>
      </c>
      <c r="R148" s="180">
        <f t="shared" si="65"/>
        <v>280000</v>
      </c>
      <c r="S148" s="177">
        <f t="shared" si="66"/>
        <v>1194000</v>
      </c>
      <c r="T148" s="181">
        <f>ROUNDDOWN((S148/24*1.059)+(VLOOKUP(I148,구분자!$P:$Q,2,FALSE)*0.75),-3)</f>
        <v>90000</v>
      </c>
      <c r="W148" s="124"/>
    </row>
    <row r="149" spans="1:23" s="2" customFormat="1" ht="25.05" customHeight="1">
      <c r="A149" s="115" t="s">
        <v>1411</v>
      </c>
      <c r="B149" s="120">
        <f>VLOOKUP($A149,출고가!$C:$E,3,FALSE)</f>
        <v>1474000</v>
      </c>
      <c r="C149" s="120" t="str">
        <f t="shared" si="61"/>
        <v>AIP16P-256슬림4G</v>
      </c>
      <c r="D149" s="125"/>
      <c r="E149" s="128"/>
      <c r="F149" s="212"/>
      <c r="G149" s="212"/>
      <c r="H149" s="129"/>
      <c r="I149" s="182" t="s">
        <v>990</v>
      </c>
      <c r="J149" s="183" t="s">
        <v>1524</v>
      </c>
      <c r="K149" s="184">
        <v>230000</v>
      </c>
      <c r="L149" s="184">
        <v>230000</v>
      </c>
      <c r="M149" s="184">
        <v>230000</v>
      </c>
      <c r="N149" s="185">
        <f t="shared" si="47"/>
        <v>0</v>
      </c>
      <c r="O149" s="184">
        <f t="shared" si="62"/>
        <v>230000</v>
      </c>
      <c r="P149" s="184">
        <f t="shared" si="63"/>
        <v>230000</v>
      </c>
      <c r="Q149" s="184">
        <f t="shared" si="64"/>
        <v>230000</v>
      </c>
      <c r="R149" s="186">
        <f t="shared" si="65"/>
        <v>230000</v>
      </c>
      <c r="S149" s="183">
        <f t="shared" si="66"/>
        <v>1244000</v>
      </c>
      <c r="T149" s="187">
        <f>ROUNDDOWN((S149/24*1.059)+(VLOOKUP(I149,구분자!$P:$Q,2,FALSE)*0.75),-3)</f>
        <v>82000</v>
      </c>
      <c r="W149" s="124"/>
    </row>
    <row r="150" spans="1:23" s="2" customFormat="1" ht="25.05" customHeight="1">
      <c r="A150" s="115" t="s">
        <v>1412</v>
      </c>
      <c r="B150" s="120">
        <f>VLOOKUP($A150,출고가!$C:$E,3,FALSE)</f>
        <v>1771000</v>
      </c>
      <c r="C150" s="120" t="str">
        <f t="shared" si="61"/>
        <v>AIP16P-512베이직</v>
      </c>
      <c r="D150" s="125"/>
      <c r="E150" s="130" t="s">
        <v>229</v>
      </c>
      <c r="F150" s="213" t="str">
        <f>A150</f>
        <v>AIP16P-512</v>
      </c>
      <c r="G150" s="213" t="str">
        <f>VLOOKUP(F150,출고가!C:D,2,0)</f>
        <v>iPhone 16 Pro 512G</v>
      </c>
      <c r="H150" s="131">
        <f>B150</f>
        <v>1771000</v>
      </c>
      <c r="I150" s="169" t="s">
        <v>357</v>
      </c>
      <c r="J150" s="170" t="s">
        <v>1521</v>
      </c>
      <c r="K150" s="190">
        <v>420000</v>
      </c>
      <c r="L150" s="190">
        <v>420000</v>
      </c>
      <c r="M150" s="190">
        <v>420000</v>
      </c>
      <c r="N150" s="171">
        <f t="shared" si="47"/>
        <v>0</v>
      </c>
      <c r="O150" s="172">
        <f t="shared" si="62"/>
        <v>420000</v>
      </c>
      <c r="P150" s="172">
        <f t="shared" si="63"/>
        <v>420000</v>
      </c>
      <c r="Q150" s="172">
        <f t="shared" si="64"/>
        <v>420000</v>
      </c>
      <c r="R150" s="173">
        <f t="shared" si="65"/>
        <v>420000</v>
      </c>
      <c r="S150" s="174">
        <f t="shared" si="66"/>
        <v>1351000</v>
      </c>
      <c r="T150" s="175">
        <f>ROUNDDOWN((S150/24*1.059)+(VLOOKUP(I150,구분자!$P:$Q,2,FALSE)*0.75),-3)</f>
        <v>119000</v>
      </c>
      <c r="W150" s="124"/>
    </row>
    <row r="151" spans="1:23" s="2" customFormat="1" ht="25.05" customHeight="1">
      <c r="A151" s="115" t="s">
        <v>1412</v>
      </c>
      <c r="B151" s="120">
        <f>VLOOKUP($A151,출고가!$C:$E,3,FALSE)</f>
        <v>1771000</v>
      </c>
      <c r="C151" s="120" t="str">
        <f t="shared" si="61"/>
        <v>AIP16P-512심플30G</v>
      </c>
      <c r="D151" s="125"/>
      <c r="E151" s="126"/>
      <c r="F151" s="211"/>
      <c r="G151" s="211"/>
      <c r="H151" s="127"/>
      <c r="I151" s="176" t="s">
        <v>988</v>
      </c>
      <c r="J151" s="177" t="s">
        <v>1522</v>
      </c>
      <c r="K151" s="178">
        <v>350000</v>
      </c>
      <c r="L151" s="178">
        <v>350000</v>
      </c>
      <c r="M151" s="178">
        <v>350000</v>
      </c>
      <c r="N151" s="179">
        <f t="shared" si="47"/>
        <v>0</v>
      </c>
      <c r="O151" s="178">
        <f t="shared" si="62"/>
        <v>350000</v>
      </c>
      <c r="P151" s="178">
        <f t="shared" si="63"/>
        <v>350000</v>
      </c>
      <c r="Q151" s="178">
        <f t="shared" si="64"/>
        <v>350000</v>
      </c>
      <c r="R151" s="180">
        <f t="shared" si="65"/>
        <v>350000</v>
      </c>
      <c r="S151" s="177">
        <f t="shared" si="66"/>
        <v>1421000</v>
      </c>
      <c r="T151" s="181">
        <f>ROUNDDOWN((S151/24*1.059)+(VLOOKUP(I151,구분자!$P:$Q,2,FALSE)*0.75),-3)</f>
        <v>108000</v>
      </c>
      <c r="W151" s="124"/>
    </row>
    <row r="152" spans="1:23" s="2" customFormat="1" ht="25.05" customHeight="1">
      <c r="A152" s="115" t="s">
        <v>1412</v>
      </c>
      <c r="B152" s="120">
        <f>VLOOKUP($A152,출고가!$C:$E,3,FALSE)</f>
        <v>1771000</v>
      </c>
      <c r="C152" s="120" t="str">
        <f t="shared" si="61"/>
        <v>AIP16P-512슬림10G</v>
      </c>
      <c r="D152" s="125"/>
      <c r="E152" s="126"/>
      <c r="F152" s="211"/>
      <c r="G152" s="211"/>
      <c r="H152" s="127"/>
      <c r="I152" s="176" t="s">
        <v>992</v>
      </c>
      <c r="J152" s="177" t="s">
        <v>1523</v>
      </c>
      <c r="K152" s="178">
        <v>280000</v>
      </c>
      <c r="L152" s="178">
        <v>280000</v>
      </c>
      <c r="M152" s="178">
        <v>280000</v>
      </c>
      <c r="N152" s="179">
        <f t="shared" si="47"/>
        <v>0</v>
      </c>
      <c r="O152" s="178">
        <f t="shared" si="62"/>
        <v>280000</v>
      </c>
      <c r="P152" s="178">
        <f t="shared" si="63"/>
        <v>280000</v>
      </c>
      <c r="Q152" s="178">
        <f t="shared" si="64"/>
        <v>280000</v>
      </c>
      <c r="R152" s="180">
        <f t="shared" si="65"/>
        <v>280000</v>
      </c>
      <c r="S152" s="177">
        <f t="shared" si="66"/>
        <v>1491000</v>
      </c>
      <c r="T152" s="181">
        <f>ROUNDDOWN((S152/24*1.059)+(VLOOKUP(I152,구분자!$P:$Q,2,FALSE)*0.75),-3)</f>
        <v>103000</v>
      </c>
      <c r="W152" s="124"/>
    </row>
    <row r="153" spans="1:23" s="2" customFormat="1" ht="25.05" customHeight="1">
      <c r="A153" s="115" t="s">
        <v>1412</v>
      </c>
      <c r="B153" s="120">
        <f>VLOOKUP($A153,출고가!$C:$E,3,FALSE)</f>
        <v>1771000</v>
      </c>
      <c r="C153" s="120" t="str">
        <f t="shared" si="61"/>
        <v>AIP16P-512슬림4G</v>
      </c>
      <c r="D153" s="125"/>
      <c r="E153" s="128"/>
      <c r="F153" s="212"/>
      <c r="G153" s="212"/>
      <c r="H153" s="129"/>
      <c r="I153" s="182" t="s">
        <v>990</v>
      </c>
      <c r="J153" s="183" t="s">
        <v>1524</v>
      </c>
      <c r="K153" s="184">
        <v>230000</v>
      </c>
      <c r="L153" s="184">
        <v>230000</v>
      </c>
      <c r="M153" s="184">
        <v>230000</v>
      </c>
      <c r="N153" s="185">
        <f t="shared" si="47"/>
        <v>0</v>
      </c>
      <c r="O153" s="184">
        <f t="shared" si="62"/>
        <v>230000</v>
      </c>
      <c r="P153" s="184">
        <f t="shared" si="63"/>
        <v>230000</v>
      </c>
      <c r="Q153" s="184">
        <f t="shared" si="64"/>
        <v>230000</v>
      </c>
      <c r="R153" s="186">
        <f t="shared" si="65"/>
        <v>230000</v>
      </c>
      <c r="S153" s="183">
        <f t="shared" si="66"/>
        <v>1541000</v>
      </c>
      <c r="T153" s="187">
        <f>ROUNDDOWN((S153/24*1.059)+(VLOOKUP(I153,구분자!$P:$Q,2,FALSE)*0.75),-3)</f>
        <v>95000</v>
      </c>
      <c r="W153" s="124"/>
    </row>
    <row r="154" spans="1:23" s="2" customFormat="1" ht="25.05" customHeight="1">
      <c r="A154" s="115" t="s">
        <v>1413</v>
      </c>
      <c r="B154" s="120">
        <f>VLOOKUP($A154,출고가!$C:$E,3,FALSE)</f>
        <v>1672000</v>
      </c>
      <c r="C154" s="120" t="str">
        <f t="shared" si="61"/>
        <v>AIP16PM-256베이직</v>
      </c>
      <c r="D154" s="125"/>
      <c r="E154" s="130" t="s">
        <v>229</v>
      </c>
      <c r="F154" s="213" t="str">
        <f>A154</f>
        <v>AIP16PM-256</v>
      </c>
      <c r="G154" s="213" t="str">
        <f>VLOOKUP(F154,출고가!C:D,2,0)</f>
        <v>iPhone 16 Pro Max 256G</v>
      </c>
      <c r="H154" s="131">
        <f>B154</f>
        <v>1672000</v>
      </c>
      <c r="I154" s="169" t="s">
        <v>357</v>
      </c>
      <c r="J154" s="170" t="s">
        <v>1521</v>
      </c>
      <c r="K154" s="190">
        <v>420000</v>
      </c>
      <c r="L154" s="190">
        <v>420000</v>
      </c>
      <c r="M154" s="190">
        <v>420000</v>
      </c>
      <c r="N154" s="171">
        <f t="shared" si="47"/>
        <v>0</v>
      </c>
      <c r="O154" s="172">
        <f t="shared" si="62"/>
        <v>420000</v>
      </c>
      <c r="P154" s="172">
        <f t="shared" si="63"/>
        <v>420000</v>
      </c>
      <c r="Q154" s="172">
        <f t="shared" si="64"/>
        <v>420000</v>
      </c>
      <c r="R154" s="173">
        <f t="shared" si="65"/>
        <v>420000</v>
      </c>
      <c r="S154" s="174">
        <f t="shared" si="66"/>
        <v>1252000</v>
      </c>
      <c r="T154" s="175">
        <f>ROUNDDOWN((S154/24*1.059)+(VLOOKUP(I154,구분자!$P:$Q,2,FALSE)*0.75),-3)</f>
        <v>115000</v>
      </c>
      <c r="W154" s="124"/>
    </row>
    <row r="155" spans="1:23" s="2" customFormat="1" ht="25.05" customHeight="1">
      <c r="A155" s="115" t="s">
        <v>1413</v>
      </c>
      <c r="B155" s="120">
        <f>VLOOKUP($A155,출고가!$C:$E,3,FALSE)</f>
        <v>1672000</v>
      </c>
      <c r="C155" s="120" t="str">
        <f t="shared" si="61"/>
        <v>AIP16PM-256심플30G</v>
      </c>
      <c r="D155" s="125"/>
      <c r="E155" s="126"/>
      <c r="F155" s="211"/>
      <c r="G155" s="211"/>
      <c r="H155" s="127"/>
      <c r="I155" s="176" t="s">
        <v>988</v>
      </c>
      <c r="J155" s="177" t="s">
        <v>1522</v>
      </c>
      <c r="K155" s="178">
        <v>350000</v>
      </c>
      <c r="L155" s="178">
        <v>350000</v>
      </c>
      <c r="M155" s="178">
        <v>350000</v>
      </c>
      <c r="N155" s="179">
        <f t="shared" si="47"/>
        <v>0</v>
      </c>
      <c r="O155" s="178">
        <f t="shared" si="62"/>
        <v>350000</v>
      </c>
      <c r="P155" s="178">
        <f t="shared" si="63"/>
        <v>350000</v>
      </c>
      <c r="Q155" s="178">
        <f t="shared" si="64"/>
        <v>350000</v>
      </c>
      <c r="R155" s="180">
        <f t="shared" si="65"/>
        <v>350000</v>
      </c>
      <c r="S155" s="177">
        <f t="shared" si="66"/>
        <v>1322000</v>
      </c>
      <c r="T155" s="181">
        <f>ROUNDDOWN((S155/24*1.059)+(VLOOKUP(I155,구분자!$P:$Q,2,FALSE)*0.75),-3)</f>
        <v>104000</v>
      </c>
      <c r="W155" s="124"/>
    </row>
    <row r="156" spans="1:23" s="2" customFormat="1" ht="25.05" customHeight="1">
      <c r="A156" s="115" t="s">
        <v>1413</v>
      </c>
      <c r="B156" s="120">
        <f>VLOOKUP($A156,출고가!$C:$E,3,FALSE)</f>
        <v>1672000</v>
      </c>
      <c r="C156" s="120" t="str">
        <f t="shared" si="61"/>
        <v>AIP16PM-256슬림10G</v>
      </c>
      <c r="D156" s="125"/>
      <c r="E156" s="126"/>
      <c r="F156" s="211"/>
      <c r="G156" s="211"/>
      <c r="H156" s="127"/>
      <c r="I156" s="176" t="s">
        <v>992</v>
      </c>
      <c r="J156" s="177" t="s">
        <v>1523</v>
      </c>
      <c r="K156" s="178">
        <v>280000</v>
      </c>
      <c r="L156" s="178">
        <v>280000</v>
      </c>
      <c r="M156" s="178">
        <v>280000</v>
      </c>
      <c r="N156" s="179">
        <f t="shared" si="47"/>
        <v>0</v>
      </c>
      <c r="O156" s="178">
        <f t="shared" si="62"/>
        <v>280000</v>
      </c>
      <c r="P156" s="178">
        <f t="shared" si="63"/>
        <v>280000</v>
      </c>
      <c r="Q156" s="178">
        <f t="shared" si="64"/>
        <v>280000</v>
      </c>
      <c r="R156" s="180">
        <f t="shared" si="65"/>
        <v>280000</v>
      </c>
      <c r="S156" s="177">
        <f t="shared" si="66"/>
        <v>1392000</v>
      </c>
      <c r="T156" s="181">
        <f>ROUNDDOWN((S156/24*1.059)+(VLOOKUP(I156,구분자!$P:$Q,2,FALSE)*0.75),-3)</f>
        <v>98000</v>
      </c>
      <c r="W156" s="124"/>
    </row>
    <row r="157" spans="1:23" s="2" customFormat="1" ht="25.05" customHeight="1">
      <c r="A157" s="115" t="s">
        <v>1413</v>
      </c>
      <c r="B157" s="120">
        <f>VLOOKUP($A157,출고가!$C:$E,3,FALSE)</f>
        <v>1672000</v>
      </c>
      <c r="C157" s="120" t="str">
        <f t="shared" si="61"/>
        <v>AIP16PM-256슬림4G</v>
      </c>
      <c r="D157" s="125"/>
      <c r="E157" s="128"/>
      <c r="F157" s="212"/>
      <c r="G157" s="212"/>
      <c r="H157" s="129"/>
      <c r="I157" s="182" t="s">
        <v>990</v>
      </c>
      <c r="J157" s="183" t="s">
        <v>1524</v>
      </c>
      <c r="K157" s="184">
        <v>230000</v>
      </c>
      <c r="L157" s="184">
        <v>230000</v>
      </c>
      <c r="M157" s="184">
        <v>230000</v>
      </c>
      <c r="N157" s="185">
        <f t="shared" si="47"/>
        <v>0</v>
      </c>
      <c r="O157" s="184">
        <f t="shared" si="62"/>
        <v>230000</v>
      </c>
      <c r="P157" s="184">
        <f t="shared" si="63"/>
        <v>230000</v>
      </c>
      <c r="Q157" s="184">
        <f t="shared" si="64"/>
        <v>230000</v>
      </c>
      <c r="R157" s="186">
        <f t="shared" si="65"/>
        <v>230000</v>
      </c>
      <c r="S157" s="183">
        <f t="shared" si="66"/>
        <v>1442000</v>
      </c>
      <c r="T157" s="187">
        <f>ROUNDDOWN((S157/24*1.059)+(VLOOKUP(I157,구분자!$P:$Q,2,FALSE)*0.75),-3)</f>
        <v>91000</v>
      </c>
      <c r="W157" s="124"/>
    </row>
    <row r="158" spans="1:23" s="2" customFormat="1" ht="25.05" customHeight="1">
      <c r="A158" s="115" t="s">
        <v>1414</v>
      </c>
      <c r="B158" s="120">
        <f>VLOOKUP($A158,출고가!$C:$E,3,FALSE)</f>
        <v>1980000</v>
      </c>
      <c r="C158" s="120" t="str">
        <f t="shared" si="61"/>
        <v>AIP16PM-512베이직</v>
      </c>
      <c r="D158" s="125"/>
      <c r="E158" s="130" t="s">
        <v>229</v>
      </c>
      <c r="F158" s="213" t="str">
        <f>A158</f>
        <v>AIP16PM-512</v>
      </c>
      <c r="G158" s="213" t="str">
        <f>VLOOKUP(F158,출고가!C:D,2,0)</f>
        <v>iPhone 16 Pro Max 512G</v>
      </c>
      <c r="H158" s="131">
        <f>B158</f>
        <v>1980000</v>
      </c>
      <c r="I158" s="169" t="s">
        <v>357</v>
      </c>
      <c r="J158" s="170" t="s">
        <v>1521</v>
      </c>
      <c r="K158" s="190">
        <v>420000</v>
      </c>
      <c r="L158" s="190">
        <v>420000</v>
      </c>
      <c r="M158" s="190">
        <v>420000</v>
      </c>
      <c r="N158" s="171">
        <f t="shared" si="47"/>
        <v>0</v>
      </c>
      <c r="O158" s="172">
        <f t="shared" si="62"/>
        <v>420000</v>
      </c>
      <c r="P158" s="172">
        <f t="shared" si="63"/>
        <v>420000</v>
      </c>
      <c r="Q158" s="172">
        <f t="shared" si="64"/>
        <v>420000</v>
      </c>
      <c r="R158" s="173">
        <f t="shared" si="65"/>
        <v>420000</v>
      </c>
      <c r="S158" s="174">
        <f t="shared" si="66"/>
        <v>1560000</v>
      </c>
      <c r="T158" s="175">
        <f>ROUNDDOWN((S158/24*1.059)+(VLOOKUP(I158,구분자!$P:$Q,2,FALSE)*0.75),-3)</f>
        <v>128000</v>
      </c>
      <c r="W158" s="124"/>
    </row>
    <row r="159" spans="1:23" s="2" customFormat="1" ht="25.05" customHeight="1">
      <c r="A159" s="115" t="s">
        <v>1414</v>
      </c>
      <c r="B159" s="120">
        <f>VLOOKUP($A159,출고가!$C:$E,3,FALSE)</f>
        <v>1980000</v>
      </c>
      <c r="C159" s="120" t="str">
        <f t="shared" si="61"/>
        <v>AIP16PM-512심플30G</v>
      </c>
      <c r="D159" s="125"/>
      <c r="E159" s="126"/>
      <c r="F159" s="211"/>
      <c r="G159" s="211"/>
      <c r="H159" s="127"/>
      <c r="I159" s="176" t="s">
        <v>988</v>
      </c>
      <c r="J159" s="177" t="s">
        <v>1522</v>
      </c>
      <c r="K159" s="178">
        <v>350000</v>
      </c>
      <c r="L159" s="178">
        <v>350000</v>
      </c>
      <c r="M159" s="178">
        <v>350000</v>
      </c>
      <c r="N159" s="179">
        <f t="shared" si="47"/>
        <v>0</v>
      </c>
      <c r="O159" s="178">
        <f t="shared" si="62"/>
        <v>350000</v>
      </c>
      <c r="P159" s="178">
        <f t="shared" si="63"/>
        <v>350000</v>
      </c>
      <c r="Q159" s="178">
        <f t="shared" si="64"/>
        <v>350000</v>
      </c>
      <c r="R159" s="180">
        <f t="shared" si="65"/>
        <v>350000</v>
      </c>
      <c r="S159" s="177">
        <f t="shared" ref="S159:S190" si="67">IF(B159-R159&gt;0,B159-R159,0)</f>
        <v>1630000</v>
      </c>
      <c r="T159" s="181">
        <f>ROUNDDOWN((S159/24*1.059)+(VLOOKUP(I159,구분자!$P:$Q,2,FALSE)*0.75),-3)</f>
        <v>117000</v>
      </c>
      <c r="W159" s="124"/>
    </row>
    <row r="160" spans="1:23" s="2" customFormat="1" ht="25.05" customHeight="1">
      <c r="A160" s="115" t="s">
        <v>1414</v>
      </c>
      <c r="B160" s="120">
        <f>VLOOKUP($A160,출고가!$C:$E,3,FALSE)</f>
        <v>1980000</v>
      </c>
      <c r="C160" s="120" t="str">
        <f t="shared" si="61"/>
        <v>AIP16PM-512슬림10G</v>
      </c>
      <c r="D160" s="125"/>
      <c r="E160" s="126"/>
      <c r="F160" s="211"/>
      <c r="G160" s="211"/>
      <c r="H160" s="127"/>
      <c r="I160" s="176" t="s">
        <v>992</v>
      </c>
      <c r="J160" s="177" t="s">
        <v>1523</v>
      </c>
      <c r="K160" s="178">
        <v>280000</v>
      </c>
      <c r="L160" s="178">
        <v>280000</v>
      </c>
      <c r="M160" s="178">
        <v>280000</v>
      </c>
      <c r="N160" s="179">
        <f t="shared" si="47"/>
        <v>0</v>
      </c>
      <c r="O160" s="178">
        <f t="shared" si="62"/>
        <v>280000</v>
      </c>
      <c r="P160" s="178">
        <f t="shared" si="63"/>
        <v>280000</v>
      </c>
      <c r="Q160" s="178">
        <f t="shared" si="64"/>
        <v>280000</v>
      </c>
      <c r="R160" s="180">
        <f t="shared" si="65"/>
        <v>280000</v>
      </c>
      <c r="S160" s="177">
        <f t="shared" si="67"/>
        <v>1700000</v>
      </c>
      <c r="T160" s="181">
        <f>ROUNDDOWN((S160/24*1.059)+(VLOOKUP(I160,구분자!$P:$Q,2,FALSE)*0.75),-3)</f>
        <v>112000</v>
      </c>
      <c r="W160" s="124"/>
    </row>
    <row r="161" spans="1:23" s="2" customFormat="1" ht="25.05" customHeight="1">
      <c r="A161" s="115" t="s">
        <v>1414</v>
      </c>
      <c r="B161" s="120">
        <f>VLOOKUP($A161,출고가!$C:$E,3,FALSE)</f>
        <v>1980000</v>
      </c>
      <c r="C161" s="120" t="str">
        <f t="shared" si="61"/>
        <v>AIP16PM-512슬림4G</v>
      </c>
      <c r="D161" s="125"/>
      <c r="E161" s="128"/>
      <c r="F161" s="212"/>
      <c r="G161" s="212"/>
      <c r="H161" s="129"/>
      <c r="I161" s="182" t="s">
        <v>990</v>
      </c>
      <c r="J161" s="183" t="s">
        <v>1524</v>
      </c>
      <c r="K161" s="184">
        <v>230000</v>
      </c>
      <c r="L161" s="184">
        <v>230000</v>
      </c>
      <c r="M161" s="184">
        <v>230000</v>
      </c>
      <c r="N161" s="185">
        <f t="shared" si="47"/>
        <v>0</v>
      </c>
      <c r="O161" s="184">
        <f t="shared" si="62"/>
        <v>230000</v>
      </c>
      <c r="P161" s="184">
        <f t="shared" si="63"/>
        <v>230000</v>
      </c>
      <c r="Q161" s="184">
        <f t="shared" si="64"/>
        <v>230000</v>
      </c>
      <c r="R161" s="186">
        <f t="shared" si="65"/>
        <v>230000</v>
      </c>
      <c r="S161" s="183">
        <f t="shared" si="67"/>
        <v>1750000</v>
      </c>
      <c r="T161" s="187">
        <f>ROUNDDOWN((S161/24*1.059)+(VLOOKUP(I161,구분자!$P:$Q,2,FALSE)*0.75),-3)</f>
        <v>104000</v>
      </c>
      <c r="W161" s="124"/>
    </row>
    <row r="162" spans="1:23" s="2" customFormat="1" ht="25.05" customHeight="1">
      <c r="A162" s="115" t="s">
        <v>735</v>
      </c>
      <c r="B162" s="120">
        <f>VLOOKUP($A162,출고가!$C:$E,3,FALSE)</f>
        <v>1023000</v>
      </c>
      <c r="C162" s="120" t="str">
        <f t="shared" si="46"/>
        <v>AIP15-128베이직</v>
      </c>
      <c r="D162" s="125"/>
      <c r="E162" s="130" t="s">
        <v>229</v>
      </c>
      <c r="F162" s="213" t="str">
        <f>A162</f>
        <v>AIP15-128</v>
      </c>
      <c r="G162" s="213" t="str">
        <f>VLOOKUP(F162,출고가!C:D,2,0)</f>
        <v>iPhone 15 128G</v>
      </c>
      <c r="H162" s="131">
        <f>B162</f>
        <v>1023000</v>
      </c>
      <c r="I162" s="169" t="s">
        <v>357</v>
      </c>
      <c r="J162" s="170" t="s">
        <v>1521</v>
      </c>
      <c r="K162" s="190">
        <v>530000</v>
      </c>
      <c r="L162" s="190">
        <v>530000</v>
      </c>
      <c r="M162" s="190">
        <v>530000</v>
      </c>
      <c r="N162" s="171">
        <f t="shared" si="47"/>
        <v>0</v>
      </c>
      <c r="O162" s="172">
        <f t="shared" si="43"/>
        <v>530000</v>
      </c>
      <c r="P162" s="172">
        <f t="shared" si="43"/>
        <v>530000</v>
      </c>
      <c r="Q162" s="172">
        <f t="shared" si="43"/>
        <v>530000</v>
      </c>
      <c r="R162" s="173">
        <f t="shared" si="48"/>
        <v>530000</v>
      </c>
      <c r="S162" s="174">
        <f t="shared" si="67"/>
        <v>493000</v>
      </c>
      <c r="T162" s="175">
        <f>ROUNDDOWN((S162/24*1.059)+(VLOOKUP(I162,구분자!$P:$Q,2,FALSE)*0.75),-3)</f>
        <v>81000</v>
      </c>
      <c r="W162" s="124"/>
    </row>
    <row r="163" spans="1:23" s="2" customFormat="1" ht="25.05" customHeight="1">
      <c r="A163" s="115" t="s">
        <v>735</v>
      </c>
      <c r="B163" s="120">
        <f>VLOOKUP($A163,출고가!$C:$E,3,FALSE)</f>
        <v>1023000</v>
      </c>
      <c r="C163" s="120" t="str">
        <f t="shared" si="46"/>
        <v>AIP15-128심플30G</v>
      </c>
      <c r="D163" s="125"/>
      <c r="E163" s="126"/>
      <c r="F163" s="208"/>
      <c r="G163" s="168"/>
      <c r="H163" s="127"/>
      <c r="I163" s="176" t="s">
        <v>988</v>
      </c>
      <c r="J163" s="177" t="s">
        <v>1522</v>
      </c>
      <c r="K163" s="178">
        <v>480000</v>
      </c>
      <c r="L163" s="178">
        <v>480000</v>
      </c>
      <c r="M163" s="178">
        <v>480000</v>
      </c>
      <c r="N163" s="179">
        <f t="shared" si="47"/>
        <v>0</v>
      </c>
      <c r="O163" s="178">
        <f t="shared" si="43"/>
        <v>480000</v>
      </c>
      <c r="P163" s="178">
        <f t="shared" si="43"/>
        <v>480000</v>
      </c>
      <c r="Q163" s="178">
        <f t="shared" si="43"/>
        <v>480000</v>
      </c>
      <c r="R163" s="180">
        <f t="shared" si="48"/>
        <v>480000</v>
      </c>
      <c r="S163" s="177">
        <f t="shared" si="67"/>
        <v>543000</v>
      </c>
      <c r="T163" s="181">
        <f>ROUNDDOWN((S163/24*1.059)+(VLOOKUP(I163,구분자!$P:$Q,2,FALSE)*0.75),-3)</f>
        <v>69000</v>
      </c>
      <c r="W163" s="124"/>
    </row>
    <row r="164" spans="1:23" s="2" customFormat="1" ht="25.05" customHeight="1">
      <c r="A164" s="115" t="s">
        <v>735</v>
      </c>
      <c r="B164" s="120">
        <f>VLOOKUP($A164,출고가!$C:$E,3,FALSE)</f>
        <v>1023000</v>
      </c>
      <c r="C164" s="120" t="str">
        <f t="shared" si="46"/>
        <v>AIP15-128슬림10G</v>
      </c>
      <c r="D164" s="125"/>
      <c r="E164" s="126"/>
      <c r="F164" s="208"/>
      <c r="G164" s="168"/>
      <c r="H164" s="127"/>
      <c r="I164" s="176" t="s">
        <v>992</v>
      </c>
      <c r="J164" s="177" t="s">
        <v>1523</v>
      </c>
      <c r="K164" s="178">
        <v>430000</v>
      </c>
      <c r="L164" s="178">
        <v>430000</v>
      </c>
      <c r="M164" s="178">
        <v>430000</v>
      </c>
      <c r="N164" s="179">
        <f t="shared" si="47"/>
        <v>0</v>
      </c>
      <c r="O164" s="178">
        <f t="shared" si="43"/>
        <v>430000</v>
      </c>
      <c r="P164" s="178">
        <f t="shared" si="43"/>
        <v>430000</v>
      </c>
      <c r="Q164" s="178">
        <f t="shared" si="43"/>
        <v>430000</v>
      </c>
      <c r="R164" s="180">
        <f t="shared" si="48"/>
        <v>430000</v>
      </c>
      <c r="S164" s="177">
        <f t="shared" si="67"/>
        <v>593000</v>
      </c>
      <c r="T164" s="181">
        <f>ROUNDDOWN((S164/24*1.059)+(VLOOKUP(I164,구분자!$P:$Q,2,FALSE)*0.75),-3)</f>
        <v>63000</v>
      </c>
      <c r="W164" s="124"/>
    </row>
    <row r="165" spans="1:23" s="2" customFormat="1" ht="24" customHeight="1">
      <c r="A165" s="115" t="s">
        <v>735</v>
      </c>
      <c r="B165" s="120">
        <f>VLOOKUP($A165,출고가!$C:$E,3,FALSE)</f>
        <v>1023000</v>
      </c>
      <c r="C165" s="120" t="str">
        <f t="shared" si="46"/>
        <v>AIP15-128슬림4G</v>
      </c>
      <c r="D165" s="125"/>
      <c r="E165" s="128"/>
      <c r="F165" s="209"/>
      <c r="G165" s="209"/>
      <c r="H165" s="129"/>
      <c r="I165" s="182" t="s">
        <v>990</v>
      </c>
      <c r="J165" s="183" t="s">
        <v>1524</v>
      </c>
      <c r="K165" s="184">
        <v>350000</v>
      </c>
      <c r="L165" s="184">
        <v>350000</v>
      </c>
      <c r="M165" s="184">
        <v>350000</v>
      </c>
      <c r="N165" s="185">
        <f t="shared" si="47"/>
        <v>0</v>
      </c>
      <c r="O165" s="184">
        <f t="shared" si="43"/>
        <v>350000</v>
      </c>
      <c r="P165" s="184">
        <f t="shared" si="43"/>
        <v>350000</v>
      </c>
      <c r="Q165" s="184">
        <f t="shared" si="43"/>
        <v>350000</v>
      </c>
      <c r="R165" s="186">
        <f t="shared" si="48"/>
        <v>350000</v>
      </c>
      <c r="S165" s="183">
        <f t="shared" si="67"/>
        <v>673000</v>
      </c>
      <c r="T165" s="187">
        <f>ROUNDDOWN((S165/24*1.059)+(VLOOKUP(I165,구분자!$P:$Q,2,FALSE)*0.75),-3)</f>
        <v>57000</v>
      </c>
      <c r="W165" s="124"/>
    </row>
    <row r="166" spans="1:23" s="2" customFormat="1" ht="25.05" customHeight="1">
      <c r="A166" s="115" t="s">
        <v>737</v>
      </c>
      <c r="B166" s="120">
        <f>VLOOKUP($A166,출고가!$C:$E,3,FALSE)</f>
        <v>1177000</v>
      </c>
      <c r="C166" s="120" t="str">
        <f t="shared" si="46"/>
        <v>AIP15-256베이직</v>
      </c>
      <c r="D166" s="125"/>
      <c r="E166" s="130" t="s">
        <v>229</v>
      </c>
      <c r="F166" s="213" t="str">
        <f>A166</f>
        <v>AIP15-256</v>
      </c>
      <c r="G166" s="213" t="str">
        <f>VLOOKUP(F166,출고가!C:D,2,0)</f>
        <v>iPhone 15 256G</v>
      </c>
      <c r="H166" s="131">
        <f>B166</f>
        <v>1177000</v>
      </c>
      <c r="I166" s="169" t="s">
        <v>357</v>
      </c>
      <c r="J166" s="170" t="s">
        <v>1521</v>
      </c>
      <c r="K166" s="190">
        <v>530000</v>
      </c>
      <c r="L166" s="190">
        <v>530000</v>
      </c>
      <c r="M166" s="190">
        <v>530000</v>
      </c>
      <c r="N166" s="171">
        <f t="shared" si="47"/>
        <v>0</v>
      </c>
      <c r="O166" s="172">
        <f t="shared" si="43"/>
        <v>530000</v>
      </c>
      <c r="P166" s="172">
        <f t="shared" si="43"/>
        <v>530000</v>
      </c>
      <c r="Q166" s="172">
        <f t="shared" si="43"/>
        <v>530000</v>
      </c>
      <c r="R166" s="173">
        <f t="shared" si="48"/>
        <v>530000</v>
      </c>
      <c r="S166" s="174">
        <f t="shared" si="67"/>
        <v>647000</v>
      </c>
      <c r="T166" s="175">
        <f>ROUNDDOWN((S166/24*1.059)+(VLOOKUP(I166,구분자!$P:$Q,2,FALSE)*0.75),-3)</f>
        <v>88000</v>
      </c>
      <c r="W166" s="124"/>
    </row>
    <row r="167" spans="1:23" s="2" customFormat="1" ht="25.05" customHeight="1">
      <c r="A167" s="115" t="s">
        <v>737</v>
      </c>
      <c r="B167" s="120">
        <f>VLOOKUP($A167,출고가!$C:$E,3,FALSE)</f>
        <v>1177000</v>
      </c>
      <c r="C167" s="120" t="str">
        <f t="shared" si="46"/>
        <v>AIP15-256심플30G</v>
      </c>
      <c r="D167" s="125"/>
      <c r="E167" s="126"/>
      <c r="F167" s="211"/>
      <c r="G167" s="211"/>
      <c r="H167" s="127"/>
      <c r="I167" s="176" t="s">
        <v>988</v>
      </c>
      <c r="J167" s="177" t="s">
        <v>1522</v>
      </c>
      <c r="K167" s="178">
        <v>480000</v>
      </c>
      <c r="L167" s="178">
        <v>480000</v>
      </c>
      <c r="M167" s="178">
        <v>480000</v>
      </c>
      <c r="N167" s="179">
        <f t="shared" si="47"/>
        <v>0</v>
      </c>
      <c r="O167" s="178">
        <f t="shared" si="43"/>
        <v>480000</v>
      </c>
      <c r="P167" s="178">
        <f t="shared" si="43"/>
        <v>480000</v>
      </c>
      <c r="Q167" s="178">
        <f t="shared" si="43"/>
        <v>480000</v>
      </c>
      <c r="R167" s="180">
        <f t="shared" si="48"/>
        <v>480000</v>
      </c>
      <c r="S167" s="177">
        <f t="shared" si="67"/>
        <v>697000</v>
      </c>
      <c r="T167" s="181">
        <f>ROUNDDOWN((S167/24*1.059)+(VLOOKUP(I167,구분자!$P:$Q,2,FALSE)*0.75),-3)</f>
        <v>76000</v>
      </c>
      <c r="W167" s="124"/>
    </row>
    <row r="168" spans="1:23" s="2" customFormat="1" ht="25.05" customHeight="1">
      <c r="A168" s="115" t="s">
        <v>737</v>
      </c>
      <c r="B168" s="120">
        <f>VLOOKUP($A168,출고가!$C:$E,3,FALSE)</f>
        <v>1177000</v>
      </c>
      <c r="C168" s="120" t="str">
        <f t="shared" si="46"/>
        <v>AIP15-256슬림10G</v>
      </c>
      <c r="D168" s="125"/>
      <c r="E168" s="126"/>
      <c r="F168" s="211"/>
      <c r="G168" s="211"/>
      <c r="H168" s="127"/>
      <c r="I168" s="176" t="s">
        <v>992</v>
      </c>
      <c r="J168" s="177" t="s">
        <v>1523</v>
      </c>
      <c r="K168" s="178">
        <v>430000</v>
      </c>
      <c r="L168" s="178">
        <v>430000</v>
      </c>
      <c r="M168" s="178">
        <v>430000</v>
      </c>
      <c r="N168" s="179">
        <f t="shared" si="47"/>
        <v>0</v>
      </c>
      <c r="O168" s="178">
        <f t="shared" si="43"/>
        <v>430000</v>
      </c>
      <c r="P168" s="178">
        <f t="shared" si="43"/>
        <v>430000</v>
      </c>
      <c r="Q168" s="178">
        <f t="shared" si="43"/>
        <v>430000</v>
      </c>
      <c r="R168" s="180">
        <f t="shared" si="48"/>
        <v>430000</v>
      </c>
      <c r="S168" s="177">
        <f t="shared" si="67"/>
        <v>747000</v>
      </c>
      <c r="T168" s="181">
        <f>ROUNDDOWN((S168/24*1.059)+(VLOOKUP(I168,구분자!$P:$Q,2,FALSE)*0.75),-3)</f>
        <v>70000</v>
      </c>
      <c r="W168" s="124"/>
    </row>
    <row r="169" spans="1:23" s="2" customFormat="1" ht="25.05" customHeight="1">
      <c r="A169" s="115" t="s">
        <v>737</v>
      </c>
      <c r="B169" s="120">
        <f>VLOOKUP($A169,출고가!$C:$E,3,FALSE)</f>
        <v>1177000</v>
      </c>
      <c r="C169" s="120" t="str">
        <f t="shared" si="46"/>
        <v>AIP15-256슬림4G</v>
      </c>
      <c r="D169" s="125"/>
      <c r="E169" s="128"/>
      <c r="F169" s="212"/>
      <c r="G169" s="212"/>
      <c r="H169" s="129"/>
      <c r="I169" s="182" t="s">
        <v>990</v>
      </c>
      <c r="J169" s="183" t="s">
        <v>1524</v>
      </c>
      <c r="K169" s="184">
        <v>350000</v>
      </c>
      <c r="L169" s="184">
        <v>350000</v>
      </c>
      <c r="M169" s="184">
        <v>350000</v>
      </c>
      <c r="N169" s="185">
        <f t="shared" si="47"/>
        <v>0</v>
      </c>
      <c r="O169" s="184">
        <f t="shared" si="43"/>
        <v>350000</v>
      </c>
      <c r="P169" s="184">
        <f t="shared" si="43"/>
        <v>350000</v>
      </c>
      <c r="Q169" s="184">
        <f t="shared" si="43"/>
        <v>350000</v>
      </c>
      <c r="R169" s="186">
        <f t="shared" si="48"/>
        <v>350000</v>
      </c>
      <c r="S169" s="183">
        <f t="shared" si="67"/>
        <v>827000</v>
      </c>
      <c r="T169" s="187">
        <f>ROUNDDOWN((S169/24*1.059)+(VLOOKUP(I169,구분자!$P:$Q,2,FALSE)*0.75),-3)</f>
        <v>64000</v>
      </c>
      <c r="W169" s="124"/>
    </row>
    <row r="170" spans="1:23" s="2" customFormat="1" ht="25.05" customHeight="1">
      <c r="A170" s="115" t="s">
        <v>739</v>
      </c>
      <c r="B170" s="120">
        <f>VLOOKUP($A170,출고가!$C:$E,3,FALSE)</f>
        <v>1474000</v>
      </c>
      <c r="C170" s="120" t="str">
        <f t="shared" si="46"/>
        <v>AIP15-512베이직</v>
      </c>
      <c r="D170" s="125"/>
      <c r="E170" s="130" t="s">
        <v>229</v>
      </c>
      <c r="F170" s="213" t="str">
        <f>A170</f>
        <v>AIP15-512</v>
      </c>
      <c r="G170" s="213" t="str">
        <f>VLOOKUP(F170,출고가!C:D,2,0)</f>
        <v>iPhone 15 512G</v>
      </c>
      <c r="H170" s="131">
        <f>B170</f>
        <v>1474000</v>
      </c>
      <c r="I170" s="169" t="s">
        <v>357</v>
      </c>
      <c r="J170" s="170" t="s">
        <v>1521</v>
      </c>
      <c r="K170" s="190">
        <v>530000</v>
      </c>
      <c r="L170" s="190">
        <v>530000</v>
      </c>
      <c r="M170" s="190">
        <v>530000</v>
      </c>
      <c r="N170" s="171">
        <f t="shared" si="47"/>
        <v>0</v>
      </c>
      <c r="O170" s="172">
        <f t="shared" si="43"/>
        <v>530000</v>
      </c>
      <c r="P170" s="172">
        <f t="shared" si="43"/>
        <v>530000</v>
      </c>
      <c r="Q170" s="172">
        <f t="shared" si="43"/>
        <v>530000</v>
      </c>
      <c r="R170" s="173">
        <f t="shared" si="48"/>
        <v>530000</v>
      </c>
      <c r="S170" s="174">
        <f t="shared" si="67"/>
        <v>944000</v>
      </c>
      <c r="T170" s="175">
        <f>ROUNDDOWN((S170/24*1.059)+(VLOOKUP(I170,구분자!$P:$Q,2,FALSE)*0.75),-3)</f>
        <v>101000</v>
      </c>
      <c r="W170" s="124"/>
    </row>
    <row r="171" spans="1:23" s="2" customFormat="1" ht="25.05" customHeight="1">
      <c r="A171" s="115" t="s">
        <v>739</v>
      </c>
      <c r="B171" s="120">
        <f>VLOOKUP($A171,출고가!$C:$E,3,FALSE)</f>
        <v>1474000</v>
      </c>
      <c r="C171" s="120" t="str">
        <f t="shared" si="46"/>
        <v>AIP15-512심플30G</v>
      </c>
      <c r="D171" s="125"/>
      <c r="E171" s="126"/>
      <c r="F171" s="211"/>
      <c r="G171" s="211"/>
      <c r="H171" s="127"/>
      <c r="I171" s="176" t="s">
        <v>988</v>
      </c>
      <c r="J171" s="177" t="s">
        <v>1522</v>
      </c>
      <c r="K171" s="178">
        <v>480000</v>
      </c>
      <c r="L171" s="178">
        <v>480000</v>
      </c>
      <c r="M171" s="178">
        <v>480000</v>
      </c>
      <c r="N171" s="179">
        <f t="shared" si="47"/>
        <v>0</v>
      </c>
      <c r="O171" s="178">
        <f t="shared" si="43"/>
        <v>480000</v>
      </c>
      <c r="P171" s="178">
        <f t="shared" si="43"/>
        <v>480000</v>
      </c>
      <c r="Q171" s="178">
        <f t="shared" si="43"/>
        <v>480000</v>
      </c>
      <c r="R171" s="180">
        <f t="shared" si="48"/>
        <v>480000</v>
      </c>
      <c r="S171" s="177">
        <f t="shared" si="67"/>
        <v>994000</v>
      </c>
      <c r="T171" s="181">
        <f>ROUNDDOWN((S171/24*1.059)+(VLOOKUP(I171,구분자!$P:$Q,2,FALSE)*0.75),-3)</f>
        <v>89000</v>
      </c>
      <c r="W171" s="124"/>
    </row>
    <row r="172" spans="1:23" s="2" customFormat="1" ht="25.05" customHeight="1">
      <c r="A172" s="115" t="s">
        <v>739</v>
      </c>
      <c r="B172" s="120">
        <f>VLOOKUP($A172,출고가!$C:$E,3,FALSE)</f>
        <v>1474000</v>
      </c>
      <c r="C172" s="120" t="str">
        <f t="shared" si="46"/>
        <v>AIP15-512슬림10G</v>
      </c>
      <c r="D172" s="125"/>
      <c r="E172" s="126"/>
      <c r="F172" s="211"/>
      <c r="G172" s="211"/>
      <c r="H172" s="127"/>
      <c r="I172" s="176" t="s">
        <v>992</v>
      </c>
      <c r="J172" s="177" t="s">
        <v>1523</v>
      </c>
      <c r="K172" s="178">
        <v>430000</v>
      </c>
      <c r="L172" s="178">
        <v>430000</v>
      </c>
      <c r="M172" s="178">
        <v>430000</v>
      </c>
      <c r="N172" s="179">
        <f t="shared" si="47"/>
        <v>0</v>
      </c>
      <c r="O172" s="178">
        <f t="shared" si="43"/>
        <v>430000</v>
      </c>
      <c r="P172" s="178">
        <f t="shared" si="43"/>
        <v>430000</v>
      </c>
      <c r="Q172" s="178">
        <f t="shared" si="43"/>
        <v>430000</v>
      </c>
      <c r="R172" s="180">
        <f t="shared" si="48"/>
        <v>430000</v>
      </c>
      <c r="S172" s="177">
        <f t="shared" si="67"/>
        <v>1044000</v>
      </c>
      <c r="T172" s="181">
        <f>ROUNDDOWN((S172/24*1.059)+(VLOOKUP(I172,구분자!$P:$Q,2,FALSE)*0.75),-3)</f>
        <v>83000</v>
      </c>
      <c r="W172" s="124"/>
    </row>
    <row r="173" spans="1:23" s="2" customFormat="1" ht="25.05" customHeight="1">
      <c r="A173" s="115" t="s">
        <v>739</v>
      </c>
      <c r="B173" s="120">
        <f>VLOOKUP($A173,출고가!$C:$E,3,FALSE)</f>
        <v>1474000</v>
      </c>
      <c r="C173" s="120" t="str">
        <f t="shared" si="46"/>
        <v>AIP15-512슬림4G</v>
      </c>
      <c r="D173" s="125"/>
      <c r="E173" s="128"/>
      <c r="F173" s="212"/>
      <c r="G173" s="212"/>
      <c r="H173" s="129"/>
      <c r="I173" s="182" t="s">
        <v>990</v>
      </c>
      <c r="J173" s="183" t="s">
        <v>1524</v>
      </c>
      <c r="K173" s="184">
        <v>350000</v>
      </c>
      <c r="L173" s="184">
        <v>350000</v>
      </c>
      <c r="M173" s="184">
        <v>350000</v>
      </c>
      <c r="N173" s="185">
        <f t="shared" si="47"/>
        <v>0</v>
      </c>
      <c r="O173" s="184">
        <f t="shared" si="43"/>
        <v>350000</v>
      </c>
      <c r="P173" s="184">
        <f t="shared" si="43"/>
        <v>350000</v>
      </c>
      <c r="Q173" s="184">
        <f t="shared" si="43"/>
        <v>350000</v>
      </c>
      <c r="R173" s="186">
        <f t="shared" si="48"/>
        <v>350000</v>
      </c>
      <c r="S173" s="183">
        <f t="shared" si="67"/>
        <v>1124000</v>
      </c>
      <c r="T173" s="187">
        <f>ROUNDDOWN((S173/24*1.059)+(VLOOKUP(I173,구분자!$P:$Q,2,FALSE)*0.75),-3)</f>
        <v>77000</v>
      </c>
      <c r="W173" s="124"/>
    </row>
    <row r="174" spans="1:23" s="2" customFormat="1" ht="25.05" customHeight="1">
      <c r="A174" s="115" t="s">
        <v>741</v>
      </c>
      <c r="B174" s="120">
        <f>VLOOKUP($A174,출고가!$C:$E,3,FALSE)</f>
        <v>1122000</v>
      </c>
      <c r="C174" s="120" t="str">
        <f t="shared" si="46"/>
        <v>AIP15PS-128베이직</v>
      </c>
      <c r="D174" s="125"/>
      <c r="E174" s="130" t="s">
        <v>229</v>
      </c>
      <c r="F174" s="213" t="str">
        <f>A174</f>
        <v>AIP15PS-128</v>
      </c>
      <c r="G174" s="213" t="str">
        <f>VLOOKUP(F174,출고가!C:D,2,0)</f>
        <v>iPhone 15 Plus 128G</v>
      </c>
      <c r="H174" s="131">
        <f>B174</f>
        <v>1122000</v>
      </c>
      <c r="I174" s="169" t="s">
        <v>357</v>
      </c>
      <c r="J174" s="170" t="s">
        <v>1521</v>
      </c>
      <c r="K174" s="190">
        <v>530000</v>
      </c>
      <c r="L174" s="190">
        <v>530000</v>
      </c>
      <c r="M174" s="190">
        <v>530000</v>
      </c>
      <c r="N174" s="171">
        <f t="shared" si="47"/>
        <v>0</v>
      </c>
      <c r="O174" s="172">
        <f t="shared" si="43"/>
        <v>530000</v>
      </c>
      <c r="P174" s="172">
        <f t="shared" si="43"/>
        <v>530000</v>
      </c>
      <c r="Q174" s="172">
        <f t="shared" si="43"/>
        <v>530000</v>
      </c>
      <c r="R174" s="173">
        <f t="shared" si="48"/>
        <v>530000</v>
      </c>
      <c r="S174" s="174">
        <f t="shared" si="67"/>
        <v>592000</v>
      </c>
      <c r="T174" s="175">
        <f>ROUNDDOWN((S174/24*1.059)+(VLOOKUP(I174,구분자!$P:$Q,2,FALSE)*0.75),-3)</f>
        <v>86000</v>
      </c>
      <c r="W174" s="124"/>
    </row>
    <row r="175" spans="1:23" s="2" customFormat="1" ht="25.05" customHeight="1">
      <c r="A175" s="115" t="s">
        <v>741</v>
      </c>
      <c r="B175" s="120">
        <f>VLOOKUP($A175,출고가!$C:$E,3,FALSE)</f>
        <v>1122000</v>
      </c>
      <c r="C175" s="120" t="str">
        <f t="shared" si="46"/>
        <v>AIP15PS-128심플30G</v>
      </c>
      <c r="D175" s="125"/>
      <c r="E175" s="126"/>
      <c r="F175" s="208"/>
      <c r="G175" s="168"/>
      <c r="H175" s="127"/>
      <c r="I175" s="176" t="s">
        <v>988</v>
      </c>
      <c r="J175" s="177" t="s">
        <v>1522</v>
      </c>
      <c r="K175" s="178">
        <v>480000</v>
      </c>
      <c r="L175" s="178">
        <v>480000</v>
      </c>
      <c r="M175" s="178">
        <v>480000</v>
      </c>
      <c r="N175" s="179">
        <f t="shared" si="47"/>
        <v>0</v>
      </c>
      <c r="O175" s="178">
        <f t="shared" si="43"/>
        <v>480000</v>
      </c>
      <c r="P175" s="178">
        <f t="shared" si="43"/>
        <v>480000</v>
      </c>
      <c r="Q175" s="178">
        <f t="shared" si="43"/>
        <v>480000</v>
      </c>
      <c r="R175" s="180">
        <f t="shared" si="48"/>
        <v>480000</v>
      </c>
      <c r="S175" s="177">
        <f t="shared" si="67"/>
        <v>642000</v>
      </c>
      <c r="T175" s="181">
        <f>ROUNDDOWN((S175/24*1.059)+(VLOOKUP(I175,구분자!$P:$Q,2,FALSE)*0.75),-3)</f>
        <v>74000</v>
      </c>
      <c r="W175" s="124"/>
    </row>
    <row r="176" spans="1:23" s="2" customFormat="1" ht="25.05" customHeight="1">
      <c r="A176" s="115" t="s">
        <v>741</v>
      </c>
      <c r="B176" s="120">
        <f>VLOOKUP($A176,출고가!$C:$E,3,FALSE)</f>
        <v>1122000</v>
      </c>
      <c r="C176" s="120" t="str">
        <f t="shared" si="46"/>
        <v>AIP15PS-128슬림10G</v>
      </c>
      <c r="D176" s="125"/>
      <c r="E176" s="126"/>
      <c r="F176" s="208"/>
      <c r="G176" s="168"/>
      <c r="H176" s="127"/>
      <c r="I176" s="176" t="s">
        <v>992</v>
      </c>
      <c r="J176" s="177" t="s">
        <v>1523</v>
      </c>
      <c r="K176" s="178">
        <v>430000</v>
      </c>
      <c r="L176" s="178">
        <v>430000</v>
      </c>
      <c r="M176" s="178">
        <v>430000</v>
      </c>
      <c r="N176" s="179">
        <f t="shared" si="47"/>
        <v>0</v>
      </c>
      <c r="O176" s="178">
        <f t="shared" si="43"/>
        <v>430000</v>
      </c>
      <c r="P176" s="178">
        <f t="shared" si="43"/>
        <v>430000</v>
      </c>
      <c r="Q176" s="178">
        <f t="shared" si="43"/>
        <v>430000</v>
      </c>
      <c r="R176" s="180">
        <f t="shared" si="48"/>
        <v>430000</v>
      </c>
      <c r="S176" s="177">
        <f t="shared" si="67"/>
        <v>692000</v>
      </c>
      <c r="T176" s="181">
        <f>ROUNDDOWN((S176/24*1.059)+(VLOOKUP(I176,구분자!$P:$Q,2,FALSE)*0.75),-3)</f>
        <v>68000</v>
      </c>
      <c r="W176" s="124"/>
    </row>
    <row r="177" spans="1:23" s="2" customFormat="1" ht="25.05" customHeight="1">
      <c r="A177" s="115" t="s">
        <v>741</v>
      </c>
      <c r="B177" s="120">
        <f>VLOOKUP($A177,출고가!$C:$E,3,FALSE)</f>
        <v>1122000</v>
      </c>
      <c r="C177" s="120" t="str">
        <f t="shared" si="46"/>
        <v>AIP15PS-128슬림4G</v>
      </c>
      <c r="D177" s="125"/>
      <c r="E177" s="128"/>
      <c r="F177" s="209"/>
      <c r="G177" s="209"/>
      <c r="H177" s="129"/>
      <c r="I177" s="182" t="s">
        <v>990</v>
      </c>
      <c r="J177" s="183" t="s">
        <v>1524</v>
      </c>
      <c r="K177" s="184">
        <v>350000</v>
      </c>
      <c r="L177" s="184">
        <v>350000</v>
      </c>
      <c r="M177" s="184">
        <v>350000</v>
      </c>
      <c r="N177" s="185">
        <f t="shared" si="47"/>
        <v>0</v>
      </c>
      <c r="O177" s="184">
        <f t="shared" si="43"/>
        <v>350000</v>
      </c>
      <c r="P177" s="184">
        <f t="shared" si="43"/>
        <v>350000</v>
      </c>
      <c r="Q177" s="184">
        <f t="shared" si="43"/>
        <v>350000</v>
      </c>
      <c r="R177" s="186">
        <f t="shared" si="48"/>
        <v>350000</v>
      </c>
      <c r="S177" s="183">
        <f t="shared" si="67"/>
        <v>772000</v>
      </c>
      <c r="T177" s="187">
        <f>ROUNDDOWN((S177/24*1.059)+(VLOOKUP(I177,구분자!$P:$Q,2,FALSE)*0.75),-3)</f>
        <v>61000</v>
      </c>
      <c r="W177" s="124"/>
    </row>
    <row r="178" spans="1:23" s="2" customFormat="1" ht="25.05" customHeight="1">
      <c r="A178" s="115" t="s">
        <v>743</v>
      </c>
      <c r="B178" s="120">
        <f>VLOOKUP($A178,출고가!$C:$E,3,FALSE)</f>
        <v>1276000</v>
      </c>
      <c r="C178" s="120" t="str">
        <f t="shared" si="46"/>
        <v>AIP15PS-256베이직</v>
      </c>
      <c r="D178" s="125"/>
      <c r="E178" s="130" t="s">
        <v>229</v>
      </c>
      <c r="F178" s="213" t="str">
        <f>A178</f>
        <v>AIP15PS-256</v>
      </c>
      <c r="G178" s="213" t="str">
        <f>VLOOKUP(F178,출고가!C:D,2,0)</f>
        <v>iPhone 15 Plus 256G</v>
      </c>
      <c r="H178" s="131">
        <f>B178</f>
        <v>1276000</v>
      </c>
      <c r="I178" s="169" t="s">
        <v>357</v>
      </c>
      <c r="J178" s="170" t="s">
        <v>1521</v>
      </c>
      <c r="K178" s="190">
        <v>530000</v>
      </c>
      <c r="L178" s="190">
        <v>530000</v>
      </c>
      <c r="M178" s="190">
        <v>530000</v>
      </c>
      <c r="N178" s="171">
        <f t="shared" si="47"/>
        <v>0</v>
      </c>
      <c r="O178" s="172">
        <f t="shared" si="43"/>
        <v>530000</v>
      </c>
      <c r="P178" s="172">
        <f t="shared" si="43"/>
        <v>530000</v>
      </c>
      <c r="Q178" s="172">
        <f t="shared" si="43"/>
        <v>530000</v>
      </c>
      <c r="R178" s="173">
        <f t="shared" si="48"/>
        <v>530000</v>
      </c>
      <c r="S178" s="174">
        <f t="shared" si="67"/>
        <v>746000</v>
      </c>
      <c r="T178" s="175">
        <f>ROUNDDOWN((S178/24*1.059)+(VLOOKUP(I178,구분자!$P:$Q,2,FALSE)*0.75),-3)</f>
        <v>92000</v>
      </c>
      <c r="W178" s="124"/>
    </row>
    <row r="179" spans="1:23" s="2" customFormat="1" ht="25.05" customHeight="1">
      <c r="A179" s="115" t="s">
        <v>743</v>
      </c>
      <c r="B179" s="120">
        <f>VLOOKUP($A179,출고가!$C:$E,3,FALSE)</f>
        <v>1276000</v>
      </c>
      <c r="C179" s="120" t="str">
        <f t="shared" si="46"/>
        <v>AIP15PS-256심플30G</v>
      </c>
      <c r="D179" s="125"/>
      <c r="E179" s="126"/>
      <c r="F179" s="211"/>
      <c r="G179" s="211"/>
      <c r="H179" s="127"/>
      <c r="I179" s="176" t="s">
        <v>988</v>
      </c>
      <c r="J179" s="177" t="s">
        <v>1522</v>
      </c>
      <c r="K179" s="178">
        <v>480000</v>
      </c>
      <c r="L179" s="178">
        <v>480000</v>
      </c>
      <c r="M179" s="178">
        <v>480000</v>
      </c>
      <c r="N179" s="179">
        <f t="shared" si="47"/>
        <v>0</v>
      </c>
      <c r="O179" s="178">
        <f t="shared" si="43"/>
        <v>480000</v>
      </c>
      <c r="P179" s="178">
        <f t="shared" si="43"/>
        <v>480000</v>
      </c>
      <c r="Q179" s="178">
        <f t="shared" si="43"/>
        <v>480000</v>
      </c>
      <c r="R179" s="180">
        <f t="shared" si="48"/>
        <v>480000</v>
      </c>
      <c r="S179" s="177">
        <f t="shared" si="67"/>
        <v>796000</v>
      </c>
      <c r="T179" s="181">
        <f>ROUNDDOWN((S179/24*1.059)+(VLOOKUP(I179,구분자!$P:$Q,2,FALSE)*0.75),-3)</f>
        <v>80000</v>
      </c>
      <c r="W179" s="124"/>
    </row>
    <row r="180" spans="1:23" s="2" customFormat="1" ht="25.05" customHeight="1">
      <c r="A180" s="115" t="s">
        <v>743</v>
      </c>
      <c r="B180" s="120">
        <f>VLOOKUP($A180,출고가!$C:$E,3,FALSE)</f>
        <v>1276000</v>
      </c>
      <c r="C180" s="120" t="str">
        <f t="shared" si="46"/>
        <v>AIP15PS-256슬림10G</v>
      </c>
      <c r="D180" s="125"/>
      <c r="E180" s="126"/>
      <c r="F180" s="211"/>
      <c r="G180" s="211"/>
      <c r="H180" s="127"/>
      <c r="I180" s="176" t="s">
        <v>992</v>
      </c>
      <c r="J180" s="177" t="s">
        <v>1523</v>
      </c>
      <c r="K180" s="178">
        <v>430000</v>
      </c>
      <c r="L180" s="178">
        <v>430000</v>
      </c>
      <c r="M180" s="178">
        <v>430000</v>
      </c>
      <c r="N180" s="179">
        <f t="shared" si="47"/>
        <v>0</v>
      </c>
      <c r="O180" s="178">
        <f t="shared" si="43"/>
        <v>430000</v>
      </c>
      <c r="P180" s="178">
        <f t="shared" si="43"/>
        <v>430000</v>
      </c>
      <c r="Q180" s="178">
        <f t="shared" si="43"/>
        <v>430000</v>
      </c>
      <c r="R180" s="180">
        <f t="shared" si="48"/>
        <v>430000</v>
      </c>
      <c r="S180" s="177">
        <f t="shared" si="67"/>
        <v>846000</v>
      </c>
      <c r="T180" s="181">
        <f>ROUNDDOWN((S180/24*1.059)+(VLOOKUP(I180,구분자!$P:$Q,2,FALSE)*0.75),-3)</f>
        <v>74000</v>
      </c>
      <c r="W180" s="124"/>
    </row>
    <row r="181" spans="1:23" s="2" customFormat="1" ht="25.05" customHeight="1">
      <c r="A181" s="115" t="s">
        <v>743</v>
      </c>
      <c r="B181" s="120">
        <f>VLOOKUP($A181,출고가!$C:$E,3,FALSE)</f>
        <v>1276000</v>
      </c>
      <c r="C181" s="120" t="str">
        <f t="shared" si="46"/>
        <v>AIP15PS-256슬림4G</v>
      </c>
      <c r="D181" s="125"/>
      <c r="E181" s="128"/>
      <c r="F181" s="212"/>
      <c r="G181" s="212"/>
      <c r="H181" s="129"/>
      <c r="I181" s="182" t="s">
        <v>990</v>
      </c>
      <c r="J181" s="183" t="s">
        <v>1524</v>
      </c>
      <c r="K181" s="184">
        <v>350000</v>
      </c>
      <c r="L181" s="184">
        <v>350000</v>
      </c>
      <c r="M181" s="184">
        <v>350000</v>
      </c>
      <c r="N181" s="185">
        <f t="shared" si="47"/>
        <v>0</v>
      </c>
      <c r="O181" s="184">
        <f t="shared" si="43"/>
        <v>350000</v>
      </c>
      <c r="P181" s="184">
        <f t="shared" si="43"/>
        <v>350000</v>
      </c>
      <c r="Q181" s="184">
        <f t="shared" si="43"/>
        <v>350000</v>
      </c>
      <c r="R181" s="186">
        <f t="shared" si="48"/>
        <v>350000</v>
      </c>
      <c r="S181" s="183">
        <f t="shared" si="67"/>
        <v>926000</v>
      </c>
      <c r="T181" s="187">
        <f>ROUNDDOWN((S181/24*1.059)+(VLOOKUP(I181,구분자!$P:$Q,2,FALSE)*0.75),-3)</f>
        <v>68000</v>
      </c>
      <c r="W181" s="124"/>
    </row>
    <row r="182" spans="1:23" s="2" customFormat="1" ht="25.05" customHeight="1">
      <c r="A182" s="115" t="s">
        <v>745</v>
      </c>
      <c r="B182" s="120">
        <f>VLOOKUP($A182,출고가!$C:$E,3,FALSE)</f>
        <v>1573000</v>
      </c>
      <c r="C182" s="120" t="str">
        <f t="shared" si="46"/>
        <v>AIP15PS-512베이직</v>
      </c>
      <c r="D182" s="125"/>
      <c r="E182" s="130" t="s">
        <v>229</v>
      </c>
      <c r="F182" s="213" t="str">
        <f>A182</f>
        <v>AIP15PS-512</v>
      </c>
      <c r="G182" s="213" t="str">
        <f>VLOOKUP(F182,출고가!C:D,2,0)</f>
        <v>iPhone 15 Plus 512G</v>
      </c>
      <c r="H182" s="131">
        <f>B182</f>
        <v>1573000</v>
      </c>
      <c r="I182" s="169" t="s">
        <v>357</v>
      </c>
      <c r="J182" s="170" t="s">
        <v>1521</v>
      </c>
      <c r="K182" s="190">
        <v>530000</v>
      </c>
      <c r="L182" s="190">
        <v>530000</v>
      </c>
      <c r="M182" s="190">
        <v>530000</v>
      </c>
      <c r="N182" s="171">
        <f t="shared" si="47"/>
        <v>0</v>
      </c>
      <c r="O182" s="172">
        <f t="shared" si="43"/>
        <v>530000</v>
      </c>
      <c r="P182" s="172">
        <f t="shared" si="43"/>
        <v>530000</v>
      </c>
      <c r="Q182" s="172">
        <f t="shared" si="43"/>
        <v>530000</v>
      </c>
      <c r="R182" s="173">
        <f t="shared" si="48"/>
        <v>530000</v>
      </c>
      <c r="S182" s="174">
        <f t="shared" si="67"/>
        <v>1043000</v>
      </c>
      <c r="T182" s="175">
        <f>ROUNDDOWN((S182/24*1.059)+(VLOOKUP(I182,구분자!$P:$Q,2,FALSE)*0.75),-3)</f>
        <v>106000</v>
      </c>
      <c r="W182" s="124"/>
    </row>
    <row r="183" spans="1:23" s="2" customFormat="1" ht="25.05" customHeight="1">
      <c r="A183" s="115" t="s">
        <v>745</v>
      </c>
      <c r="B183" s="120">
        <f>VLOOKUP($A183,출고가!$C:$E,3,FALSE)</f>
        <v>1573000</v>
      </c>
      <c r="C183" s="120" t="str">
        <f t="shared" si="46"/>
        <v>AIP15PS-512심플30G</v>
      </c>
      <c r="D183" s="125"/>
      <c r="E183" s="126"/>
      <c r="F183" s="211"/>
      <c r="G183" s="211"/>
      <c r="H183" s="127"/>
      <c r="I183" s="176" t="s">
        <v>988</v>
      </c>
      <c r="J183" s="177" t="s">
        <v>1522</v>
      </c>
      <c r="K183" s="178">
        <v>480000</v>
      </c>
      <c r="L183" s="178">
        <v>480000</v>
      </c>
      <c r="M183" s="178">
        <v>480000</v>
      </c>
      <c r="N183" s="179">
        <f t="shared" si="47"/>
        <v>0</v>
      </c>
      <c r="O183" s="178">
        <f t="shared" si="43"/>
        <v>480000</v>
      </c>
      <c r="P183" s="178">
        <f t="shared" si="43"/>
        <v>480000</v>
      </c>
      <c r="Q183" s="178">
        <f t="shared" si="43"/>
        <v>480000</v>
      </c>
      <c r="R183" s="180">
        <f t="shared" si="48"/>
        <v>480000</v>
      </c>
      <c r="S183" s="177">
        <f t="shared" si="67"/>
        <v>1093000</v>
      </c>
      <c r="T183" s="181">
        <f>ROUNDDOWN((S183/24*1.059)+(VLOOKUP(I183,구분자!$P:$Q,2,FALSE)*0.75),-3)</f>
        <v>93000</v>
      </c>
      <c r="W183" s="124"/>
    </row>
    <row r="184" spans="1:23" s="2" customFormat="1" ht="25.05" customHeight="1">
      <c r="A184" s="115" t="s">
        <v>745</v>
      </c>
      <c r="B184" s="120">
        <f>VLOOKUP($A184,출고가!$C:$E,3,FALSE)</f>
        <v>1573000</v>
      </c>
      <c r="C184" s="120" t="str">
        <f t="shared" si="46"/>
        <v>AIP15PS-512슬림10G</v>
      </c>
      <c r="D184" s="125"/>
      <c r="E184" s="126"/>
      <c r="F184" s="211"/>
      <c r="G184" s="211"/>
      <c r="H184" s="127"/>
      <c r="I184" s="176" t="s">
        <v>992</v>
      </c>
      <c r="J184" s="177" t="s">
        <v>1523</v>
      </c>
      <c r="K184" s="178">
        <v>430000</v>
      </c>
      <c r="L184" s="178">
        <v>430000</v>
      </c>
      <c r="M184" s="178">
        <v>430000</v>
      </c>
      <c r="N184" s="179">
        <f t="shared" si="47"/>
        <v>0</v>
      </c>
      <c r="O184" s="178">
        <f t="shared" si="43"/>
        <v>430000</v>
      </c>
      <c r="P184" s="178">
        <f t="shared" si="43"/>
        <v>430000</v>
      </c>
      <c r="Q184" s="178">
        <f t="shared" si="43"/>
        <v>430000</v>
      </c>
      <c r="R184" s="180">
        <f t="shared" si="48"/>
        <v>430000</v>
      </c>
      <c r="S184" s="177">
        <f t="shared" si="67"/>
        <v>1143000</v>
      </c>
      <c r="T184" s="181">
        <f>ROUNDDOWN((S184/24*1.059)+(VLOOKUP(I184,구분자!$P:$Q,2,FALSE)*0.75),-3)</f>
        <v>87000</v>
      </c>
      <c r="W184" s="124"/>
    </row>
    <row r="185" spans="1:23" s="2" customFormat="1" ht="25.05" customHeight="1">
      <c r="A185" s="115" t="s">
        <v>745</v>
      </c>
      <c r="B185" s="120">
        <f>VLOOKUP($A185,출고가!$C:$E,3,FALSE)</f>
        <v>1573000</v>
      </c>
      <c r="C185" s="120" t="str">
        <f t="shared" si="46"/>
        <v>AIP15PS-512슬림4G</v>
      </c>
      <c r="D185" s="125"/>
      <c r="E185" s="128"/>
      <c r="F185" s="212"/>
      <c r="G185" s="212"/>
      <c r="H185" s="129"/>
      <c r="I185" s="182" t="s">
        <v>990</v>
      </c>
      <c r="J185" s="183" t="s">
        <v>1524</v>
      </c>
      <c r="K185" s="184">
        <v>350000</v>
      </c>
      <c r="L185" s="184">
        <v>350000</v>
      </c>
      <c r="M185" s="184">
        <v>350000</v>
      </c>
      <c r="N185" s="185">
        <f t="shared" si="47"/>
        <v>0</v>
      </c>
      <c r="O185" s="184">
        <f t="shared" si="43"/>
        <v>350000</v>
      </c>
      <c r="P185" s="184">
        <f t="shared" si="43"/>
        <v>350000</v>
      </c>
      <c r="Q185" s="184">
        <f t="shared" si="43"/>
        <v>350000</v>
      </c>
      <c r="R185" s="186">
        <f t="shared" si="48"/>
        <v>350000</v>
      </c>
      <c r="S185" s="183">
        <f t="shared" si="67"/>
        <v>1223000</v>
      </c>
      <c r="T185" s="187">
        <f>ROUNDDOWN((S185/24*1.059)+(VLOOKUP(I185,구분자!$P:$Q,2,FALSE)*0.75),-3)</f>
        <v>81000</v>
      </c>
      <c r="W185" s="124"/>
    </row>
    <row r="186" spans="1:23" s="2" customFormat="1" ht="25.05" customHeight="1">
      <c r="A186" s="115" t="s">
        <v>747</v>
      </c>
      <c r="B186" s="120">
        <f>VLOOKUP($A186,출고가!$C:$E,3,FALSE)</f>
        <v>1320000</v>
      </c>
      <c r="C186" s="120" t="str">
        <f t="shared" ref="C186:C205" si="68">A186&amp;I186</f>
        <v>AIP15P-128베이직</v>
      </c>
      <c r="D186" s="125"/>
      <c r="E186" s="130" t="s">
        <v>229</v>
      </c>
      <c r="F186" s="213" t="str">
        <f>A186</f>
        <v>AIP15P-128</v>
      </c>
      <c r="G186" s="213" t="str">
        <f>VLOOKUP(F186,출고가!C:D,2,0)</f>
        <v>iPhone 15 Pro 128G</v>
      </c>
      <c r="H186" s="131">
        <f>B186</f>
        <v>1320000</v>
      </c>
      <c r="I186" s="169" t="s">
        <v>357</v>
      </c>
      <c r="J186" s="170" t="s">
        <v>1521</v>
      </c>
      <c r="K186" s="190">
        <v>530000</v>
      </c>
      <c r="L186" s="190">
        <v>530000</v>
      </c>
      <c r="M186" s="190">
        <v>530000</v>
      </c>
      <c r="N186" s="171">
        <f t="shared" si="47"/>
        <v>0</v>
      </c>
      <c r="O186" s="172">
        <f t="shared" si="43"/>
        <v>530000</v>
      </c>
      <c r="P186" s="172">
        <f t="shared" si="43"/>
        <v>530000</v>
      </c>
      <c r="Q186" s="172">
        <f t="shared" si="43"/>
        <v>530000</v>
      </c>
      <c r="R186" s="173">
        <f t="shared" ref="R186:R205" si="69">IF($R$8=$O$8,O186,IF($R$8=$P$8,P186,Q186))</f>
        <v>530000</v>
      </c>
      <c r="S186" s="174">
        <f t="shared" si="67"/>
        <v>790000</v>
      </c>
      <c r="T186" s="175">
        <f>ROUNDDOWN((S186/24*1.059)+(VLOOKUP(I186,구분자!$P:$Q,2,FALSE)*0.75),-3)</f>
        <v>94000</v>
      </c>
      <c r="W186" s="124"/>
    </row>
    <row r="187" spans="1:23" s="2" customFormat="1" ht="25.05" customHeight="1">
      <c r="A187" s="115" t="s">
        <v>747</v>
      </c>
      <c r="B187" s="120">
        <f>VLOOKUP($A187,출고가!$C:$E,3,FALSE)</f>
        <v>1320000</v>
      </c>
      <c r="C187" s="120" t="str">
        <f t="shared" si="68"/>
        <v>AIP15P-128심플30G</v>
      </c>
      <c r="D187" s="125"/>
      <c r="E187" s="126"/>
      <c r="F187" s="211"/>
      <c r="G187" s="211"/>
      <c r="H187" s="127"/>
      <c r="I187" s="176" t="s">
        <v>988</v>
      </c>
      <c r="J187" s="177" t="s">
        <v>1522</v>
      </c>
      <c r="K187" s="178">
        <v>480000</v>
      </c>
      <c r="L187" s="178">
        <v>480000</v>
      </c>
      <c r="M187" s="178">
        <v>480000</v>
      </c>
      <c r="N187" s="179">
        <f t="shared" si="47"/>
        <v>0</v>
      </c>
      <c r="O187" s="178">
        <f t="shared" si="43"/>
        <v>480000</v>
      </c>
      <c r="P187" s="178">
        <f t="shared" si="43"/>
        <v>480000</v>
      </c>
      <c r="Q187" s="178">
        <f t="shared" si="43"/>
        <v>480000</v>
      </c>
      <c r="R187" s="180">
        <f t="shared" si="69"/>
        <v>480000</v>
      </c>
      <c r="S187" s="177">
        <f t="shared" si="67"/>
        <v>840000</v>
      </c>
      <c r="T187" s="181">
        <f>ROUNDDOWN((S187/24*1.059)+(VLOOKUP(I187,구분자!$P:$Q,2,FALSE)*0.75),-3)</f>
        <v>82000</v>
      </c>
      <c r="W187" s="124"/>
    </row>
    <row r="188" spans="1:23" s="2" customFormat="1" ht="25.05" customHeight="1">
      <c r="A188" s="115" t="s">
        <v>747</v>
      </c>
      <c r="B188" s="120">
        <f>VLOOKUP($A188,출고가!$C:$E,3,FALSE)</f>
        <v>1320000</v>
      </c>
      <c r="C188" s="120" t="str">
        <f t="shared" si="68"/>
        <v>AIP15P-128슬림10G</v>
      </c>
      <c r="D188" s="125"/>
      <c r="E188" s="126"/>
      <c r="F188" s="211"/>
      <c r="G188" s="211"/>
      <c r="H188" s="127"/>
      <c r="I188" s="176" t="s">
        <v>992</v>
      </c>
      <c r="J188" s="177" t="s">
        <v>1523</v>
      </c>
      <c r="K188" s="178">
        <v>430000</v>
      </c>
      <c r="L188" s="178">
        <v>430000</v>
      </c>
      <c r="M188" s="178">
        <v>430000</v>
      </c>
      <c r="N188" s="179">
        <f t="shared" si="47"/>
        <v>0</v>
      </c>
      <c r="O188" s="178">
        <f t="shared" si="43"/>
        <v>430000</v>
      </c>
      <c r="P188" s="178">
        <f t="shared" si="43"/>
        <v>430000</v>
      </c>
      <c r="Q188" s="178">
        <f t="shared" si="43"/>
        <v>430000</v>
      </c>
      <c r="R188" s="180">
        <f t="shared" si="69"/>
        <v>430000</v>
      </c>
      <c r="S188" s="177">
        <f t="shared" si="67"/>
        <v>890000</v>
      </c>
      <c r="T188" s="181">
        <f>ROUNDDOWN((S188/24*1.059)+(VLOOKUP(I188,구분자!$P:$Q,2,FALSE)*0.75),-3)</f>
        <v>76000</v>
      </c>
      <c r="W188" s="124"/>
    </row>
    <row r="189" spans="1:23" s="2" customFormat="1" ht="25.05" customHeight="1">
      <c r="A189" s="115" t="s">
        <v>747</v>
      </c>
      <c r="B189" s="120">
        <f>VLOOKUP($A189,출고가!$C:$E,3,FALSE)</f>
        <v>1320000</v>
      </c>
      <c r="C189" s="120" t="str">
        <f t="shared" si="68"/>
        <v>AIP15P-128슬림4G</v>
      </c>
      <c r="D189" s="125"/>
      <c r="E189" s="128"/>
      <c r="F189" s="212"/>
      <c r="G189" s="212"/>
      <c r="H189" s="129"/>
      <c r="I189" s="182" t="s">
        <v>990</v>
      </c>
      <c r="J189" s="183" t="s">
        <v>1524</v>
      </c>
      <c r="K189" s="184">
        <v>350000</v>
      </c>
      <c r="L189" s="184">
        <v>350000</v>
      </c>
      <c r="M189" s="184">
        <v>350000</v>
      </c>
      <c r="N189" s="185">
        <f t="shared" si="47"/>
        <v>0</v>
      </c>
      <c r="O189" s="184">
        <f t="shared" si="43"/>
        <v>350000</v>
      </c>
      <c r="P189" s="184">
        <f t="shared" si="43"/>
        <v>350000</v>
      </c>
      <c r="Q189" s="184">
        <f t="shared" si="43"/>
        <v>350000</v>
      </c>
      <c r="R189" s="186">
        <f t="shared" si="69"/>
        <v>350000</v>
      </c>
      <c r="S189" s="183">
        <f t="shared" si="67"/>
        <v>970000</v>
      </c>
      <c r="T189" s="187">
        <f>ROUNDDOWN((S189/24*1.059)+(VLOOKUP(I189,구분자!$P:$Q,2,FALSE)*0.75),-3)</f>
        <v>70000</v>
      </c>
      <c r="W189" s="124"/>
    </row>
    <row r="190" spans="1:23" s="2" customFormat="1" ht="25.05" customHeight="1">
      <c r="A190" s="115" t="s">
        <v>749</v>
      </c>
      <c r="B190" s="120">
        <f>VLOOKUP($A190,출고가!$C:$E,3,FALSE)</f>
        <v>1474000</v>
      </c>
      <c r="C190" s="120" t="str">
        <f t="shared" si="68"/>
        <v>AIP15P-256베이직</v>
      </c>
      <c r="D190" s="125"/>
      <c r="E190" s="130" t="s">
        <v>229</v>
      </c>
      <c r="F190" s="213" t="str">
        <f>A190</f>
        <v>AIP15P-256</v>
      </c>
      <c r="G190" s="213" t="str">
        <f>VLOOKUP(F190,출고가!C:D,2,0)</f>
        <v>iPhone 15 Pro 256G</v>
      </c>
      <c r="H190" s="131">
        <f>B190</f>
        <v>1474000</v>
      </c>
      <c r="I190" s="169" t="s">
        <v>357</v>
      </c>
      <c r="J190" s="170" t="s">
        <v>1521</v>
      </c>
      <c r="K190" s="190">
        <v>530000</v>
      </c>
      <c r="L190" s="190">
        <v>530000</v>
      </c>
      <c r="M190" s="190">
        <v>530000</v>
      </c>
      <c r="N190" s="171">
        <f t="shared" ref="N190:N205" si="70">IF($N$8="0원",0,IF($N$8="5만",50000,IF($N$8="10만",100000,150000)))</f>
        <v>0</v>
      </c>
      <c r="O190" s="172">
        <f t="shared" si="43"/>
        <v>530000</v>
      </c>
      <c r="P190" s="172">
        <f t="shared" si="43"/>
        <v>530000</v>
      </c>
      <c r="Q190" s="172">
        <f t="shared" si="43"/>
        <v>530000</v>
      </c>
      <c r="R190" s="173">
        <f t="shared" si="69"/>
        <v>530000</v>
      </c>
      <c r="S190" s="174">
        <f t="shared" si="67"/>
        <v>944000</v>
      </c>
      <c r="T190" s="175">
        <f>ROUNDDOWN((S190/24*1.059)+(VLOOKUP(I190,구분자!$P:$Q,2,FALSE)*0.75),-3)</f>
        <v>101000</v>
      </c>
      <c r="W190" s="124"/>
    </row>
    <row r="191" spans="1:23" s="2" customFormat="1" ht="25.05" customHeight="1">
      <c r="A191" s="115" t="s">
        <v>749</v>
      </c>
      <c r="B191" s="120">
        <f>VLOOKUP($A191,출고가!$C:$E,3,FALSE)</f>
        <v>1474000</v>
      </c>
      <c r="C191" s="120" t="str">
        <f t="shared" si="68"/>
        <v>AIP15P-256심플30G</v>
      </c>
      <c r="D191" s="125"/>
      <c r="E191" s="126"/>
      <c r="F191" s="211"/>
      <c r="G191" s="211"/>
      <c r="H191" s="127"/>
      <c r="I191" s="176" t="s">
        <v>988</v>
      </c>
      <c r="J191" s="177" t="s">
        <v>1522</v>
      </c>
      <c r="K191" s="178">
        <v>480000</v>
      </c>
      <c r="L191" s="178">
        <v>480000</v>
      </c>
      <c r="M191" s="178">
        <v>480000</v>
      </c>
      <c r="N191" s="179">
        <f t="shared" si="70"/>
        <v>0</v>
      </c>
      <c r="O191" s="178">
        <f t="shared" si="43"/>
        <v>480000</v>
      </c>
      <c r="P191" s="178">
        <f t="shared" si="43"/>
        <v>480000</v>
      </c>
      <c r="Q191" s="178">
        <f t="shared" si="43"/>
        <v>480000</v>
      </c>
      <c r="R191" s="180">
        <f t="shared" si="69"/>
        <v>480000</v>
      </c>
      <c r="S191" s="177">
        <f t="shared" ref="S191:S205" si="71">IF(B191-R191&gt;0,B191-R191,0)</f>
        <v>994000</v>
      </c>
      <c r="T191" s="181">
        <f>ROUNDDOWN((S191/24*1.059)+(VLOOKUP(I191,구분자!$P:$Q,2,FALSE)*0.75),-3)</f>
        <v>89000</v>
      </c>
      <c r="W191" s="124"/>
    </row>
    <row r="192" spans="1:23" s="2" customFormat="1" ht="25.05" customHeight="1">
      <c r="A192" s="115" t="s">
        <v>749</v>
      </c>
      <c r="B192" s="120">
        <f>VLOOKUP($A192,출고가!$C:$E,3,FALSE)</f>
        <v>1474000</v>
      </c>
      <c r="C192" s="120" t="str">
        <f t="shared" si="68"/>
        <v>AIP15P-256슬림10G</v>
      </c>
      <c r="D192" s="125"/>
      <c r="E192" s="126"/>
      <c r="F192" s="211"/>
      <c r="G192" s="211"/>
      <c r="H192" s="127"/>
      <c r="I192" s="176" t="s">
        <v>992</v>
      </c>
      <c r="J192" s="177" t="s">
        <v>1523</v>
      </c>
      <c r="K192" s="178">
        <v>430000</v>
      </c>
      <c r="L192" s="178">
        <v>430000</v>
      </c>
      <c r="M192" s="178">
        <v>430000</v>
      </c>
      <c r="N192" s="179">
        <f t="shared" si="70"/>
        <v>0</v>
      </c>
      <c r="O192" s="178">
        <f t="shared" si="43"/>
        <v>430000</v>
      </c>
      <c r="P192" s="178">
        <f t="shared" si="43"/>
        <v>430000</v>
      </c>
      <c r="Q192" s="178">
        <f t="shared" si="43"/>
        <v>430000</v>
      </c>
      <c r="R192" s="180">
        <f t="shared" si="69"/>
        <v>430000</v>
      </c>
      <c r="S192" s="177">
        <f t="shared" si="71"/>
        <v>1044000</v>
      </c>
      <c r="T192" s="181">
        <f>ROUNDDOWN((S192/24*1.059)+(VLOOKUP(I192,구분자!$P:$Q,2,FALSE)*0.75),-3)</f>
        <v>83000</v>
      </c>
      <c r="W192" s="124"/>
    </row>
    <row r="193" spans="1:23" s="2" customFormat="1" ht="25.05" customHeight="1">
      <c r="A193" s="115" t="s">
        <v>749</v>
      </c>
      <c r="B193" s="120">
        <f>VLOOKUP($A193,출고가!$C:$E,3,FALSE)</f>
        <v>1474000</v>
      </c>
      <c r="C193" s="120" t="str">
        <f t="shared" si="68"/>
        <v>AIP15P-256슬림4G</v>
      </c>
      <c r="D193" s="125"/>
      <c r="E193" s="128"/>
      <c r="F193" s="212"/>
      <c r="G193" s="212"/>
      <c r="H193" s="129"/>
      <c r="I193" s="182" t="s">
        <v>990</v>
      </c>
      <c r="J193" s="183" t="s">
        <v>1524</v>
      </c>
      <c r="K193" s="184">
        <v>350000</v>
      </c>
      <c r="L193" s="184">
        <v>350000</v>
      </c>
      <c r="M193" s="184">
        <v>350000</v>
      </c>
      <c r="N193" s="185">
        <f t="shared" si="70"/>
        <v>0</v>
      </c>
      <c r="O193" s="184">
        <f t="shared" ref="O193:Q205" si="72">IF(K193-$N193&gt;0,K193-$N193,0)</f>
        <v>350000</v>
      </c>
      <c r="P193" s="184">
        <f t="shared" si="72"/>
        <v>350000</v>
      </c>
      <c r="Q193" s="184">
        <f t="shared" si="72"/>
        <v>350000</v>
      </c>
      <c r="R193" s="186">
        <f t="shared" si="69"/>
        <v>350000</v>
      </c>
      <c r="S193" s="183">
        <f t="shared" si="71"/>
        <v>1124000</v>
      </c>
      <c r="T193" s="187">
        <f>ROUNDDOWN((S193/24*1.059)+(VLOOKUP(I193,구분자!$P:$Q,2,FALSE)*0.75),-3)</f>
        <v>77000</v>
      </c>
      <c r="W193" s="124"/>
    </row>
    <row r="194" spans="1:23" s="2" customFormat="1" ht="25.05" customHeight="1">
      <c r="A194" s="115" t="s">
        <v>751</v>
      </c>
      <c r="B194" s="120">
        <f>VLOOKUP($A194,출고가!$C:$E,3,FALSE)</f>
        <v>1771000</v>
      </c>
      <c r="C194" s="120" t="str">
        <f t="shared" si="68"/>
        <v>AIP15P-512베이직</v>
      </c>
      <c r="D194" s="125"/>
      <c r="E194" s="130" t="s">
        <v>229</v>
      </c>
      <c r="F194" s="213" t="str">
        <f>A194</f>
        <v>AIP15P-512</v>
      </c>
      <c r="G194" s="213" t="str">
        <f>VLOOKUP(F194,출고가!C:D,2,0)</f>
        <v>iPhone 15 Pro 512G</v>
      </c>
      <c r="H194" s="131">
        <f>B194</f>
        <v>1771000</v>
      </c>
      <c r="I194" s="169" t="s">
        <v>357</v>
      </c>
      <c r="J194" s="170" t="s">
        <v>1521</v>
      </c>
      <c r="K194" s="190">
        <v>530000</v>
      </c>
      <c r="L194" s="190">
        <v>530000</v>
      </c>
      <c r="M194" s="190">
        <v>530000</v>
      </c>
      <c r="N194" s="171">
        <f t="shared" si="70"/>
        <v>0</v>
      </c>
      <c r="O194" s="172">
        <f t="shared" si="72"/>
        <v>530000</v>
      </c>
      <c r="P194" s="172">
        <f t="shared" si="72"/>
        <v>530000</v>
      </c>
      <c r="Q194" s="172">
        <f t="shared" si="72"/>
        <v>530000</v>
      </c>
      <c r="R194" s="173">
        <f t="shared" si="69"/>
        <v>530000</v>
      </c>
      <c r="S194" s="174">
        <f t="shared" si="71"/>
        <v>1241000</v>
      </c>
      <c r="T194" s="175">
        <f>ROUNDDOWN((S194/24*1.059)+(VLOOKUP(I194,구분자!$P:$Q,2,FALSE)*0.75),-3)</f>
        <v>114000</v>
      </c>
      <c r="W194" s="124"/>
    </row>
    <row r="195" spans="1:23" s="2" customFormat="1" ht="25.05" customHeight="1">
      <c r="A195" s="115" t="s">
        <v>751</v>
      </c>
      <c r="B195" s="120">
        <f>VLOOKUP($A195,출고가!$C:$E,3,FALSE)</f>
        <v>1771000</v>
      </c>
      <c r="C195" s="120" t="str">
        <f t="shared" si="68"/>
        <v>AIP15P-512심플30G</v>
      </c>
      <c r="D195" s="125"/>
      <c r="E195" s="126"/>
      <c r="F195" s="211"/>
      <c r="G195" s="211"/>
      <c r="H195" s="127"/>
      <c r="I195" s="176" t="s">
        <v>988</v>
      </c>
      <c r="J195" s="177" t="s">
        <v>1522</v>
      </c>
      <c r="K195" s="178">
        <v>480000</v>
      </c>
      <c r="L195" s="178">
        <v>480000</v>
      </c>
      <c r="M195" s="178">
        <v>480000</v>
      </c>
      <c r="N195" s="179">
        <f t="shared" si="70"/>
        <v>0</v>
      </c>
      <c r="O195" s="178">
        <f t="shared" si="72"/>
        <v>480000</v>
      </c>
      <c r="P195" s="178">
        <f t="shared" si="72"/>
        <v>480000</v>
      </c>
      <c r="Q195" s="178">
        <f t="shared" si="72"/>
        <v>480000</v>
      </c>
      <c r="R195" s="180">
        <f t="shared" si="69"/>
        <v>480000</v>
      </c>
      <c r="S195" s="177">
        <f t="shared" si="71"/>
        <v>1291000</v>
      </c>
      <c r="T195" s="181">
        <f>ROUNDDOWN((S195/24*1.059)+(VLOOKUP(I195,구분자!$P:$Q,2,FALSE)*0.75),-3)</f>
        <v>102000</v>
      </c>
      <c r="W195" s="124"/>
    </row>
    <row r="196" spans="1:23" s="2" customFormat="1" ht="25.05" customHeight="1">
      <c r="A196" s="115" t="s">
        <v>751</v>
      </c>
      <c r="B196" s="120">
        <f>VLOOKUP($A196,출고가!$C:$E,3,FALSE)</f>
        <v>1771000</v>
      </c>
      <c r="C196" s="120" t="str">
        <f t="shared" si="68"/>
        <v>AIP15P-512슬림10G</v>
      </c>
      <c r="D196" s="125"/>
      <c r="E196" s="126"/>
      <c r="F196" s="211"/>
      <c r="G196" s="211"/>
      <c r="H196" s="127"/>
      <c r="I196" s="176" t="s">
        <v>992</v>
      </c>
      <c r="J196" s="177" t="s">
        <v>1523</v>
      </c>
      <c r="K196" s="178">
        <v>430000</v>
      </c>
      <c r="L196" s="178">
        <v>430000</v>
      </c>
      <c r="M196" s="178">
        <v>430000</v>
      </c>
      <c r="N196" s="179">
        <f t="shared" si="70"/>
        <v>0</v>
      </c>
      <c r="O196" s="178">
        <f t="shared" si="72"/>
        <v>430000</v>
      </c>
      <c r="P196" s="178">
        <f t="shared" si="72"/>
        <v>430000</v>
      </c>
      <c r="Q196" s="178">
        <f t="shared" si="72"/>
        <v>430000</v>
      </c>
      <c r="R196" s="180">
        <f t="shared" si="69"/>
        <v>430000</v>
      </c>
      <c r="S196" s="177">
        <f t="shared" si="71"/>
        <v>1341000</v>
      </c>
      <c r="T196" s="181">
        <f>ROUNDDOWN((S196/24*1.059)+(VLOOKUP(I196,구분자!$P:$Q,2,FALSE)*0.75),-3)</f>
        <v>96000</v>
      </c>
      <c r="W196" s="124"/>
    </row>
    <row r="197" spans="1:23" s="2" customFormat="1" ht="25.05" customHeight="1">
      <c r="A197" s="115" t="s">
        <v>751</v>
      </c>
      <c r="B197" s="120">
        <f>VLOOKUP($A197,출고가!$C:$E,3,FALSE)</f>
        <v>1771000</v>
      </c>
      <c r="C197" s="120" t="str">
        <f t="shared" si="68"/>
        <v>AIP15P-512슬림4G</v>
      </c>
      <c r="D197" s="125"/>
      <c r="E197" s="128"/>
      <c r="F197" s="212"/>
      <c r="G197" s="212"/>
      <c r="H197" s="129"/>
      <c r="I197" s="182" t="s">
        <v>990</v>
      </c>
      <c r="J197" s="183" t="s">
        <v>1524</v>
      </c>
      <c r="K197" s="184">
        <v>350000</v>
      </c>
      <c r="L197" s="184">
        <v>350000</v>
      </c>
      <c r="M197" s="184">
        <v>350000</v>
      </c>
      <c r="N197" s="185">
        <f t="shared" si="70"/>
        <v>0</v>
      </c>
      <c r="O197" s="184">
        <f t="shared" si="72"/>
        <v>350000</v>
      </c>
      <c r="P197" s="184">
        <f t="shared" si="72"/>
        <v>350000</v>
      </c>
      <c r="Q197" s="184">
        <f t="shared" si="72"/>
        <v>350000</v>
      </c>
      <c r="R197" s="186">
        <f t="shared" si="69"/>
        <v>350000</v>
      </c>
      <c r="S197" s="183">
        <f t="shared" si="71"/>
        <v>1421000</v>
      </c>
      <c r="T197" s="187">
        <f>ROUNDDOWN((S197/24*1.059)+(VLOOKUP(I197,구분자!$P:$Q,2,FALSE)*0.75),-3)</f>
        <v>90000</v>
      </c>
      <c r="W197" s="124"/>
    </row>
    <row r="198" spans="1:23" s="2" customFormat="1" ht="25.05" customHeight="1">
      <c r="A198" s="115" t="s">
        <v>757</v>
      </c>
      <c r="B198" s="120">
        <f>VLOOKUP($A198,출고가!$C:$E,3,FALSE)</f>
        <v>1672000</v>
      </c>
      <c r="C198" s="120" t="str">
        <f t="shared" si="68"/>
        <v>AIP15PM-256베이직</v>
      </c>
      <c r="D198" s="125"/>
      <c r="E198" s="130" t="s">
        <v>229</v>
      </c>
      <c r="F198" s="213" t="str">
        <f>A198</f>
        <v>AIP15PM-256</v>
      </c>
      <c r="G198" s="213" t="str">
        <f>VLOOKUP(F198,출고가!C:D,2,0)</f>
        <v>iPhone 15 Pro Max 256G</v>
      </c>
      <c r="H198" s="131">
        <f>B198</f>
        <v>1672000</v>
      </c>
      <c r="I198" s="169" t="s">
        <v>357</v>
      </c>
      <c r="J198" s="170" t="s">
        <v>1521</v>
      </c>
      <c r="K198" s="190">
        <v>530000</v>
      </c>
      <c r="L198" s="190">
        <v>530000</v>
      </c>
      <c r="M198" s="190">
        <v>530000</v>
      </c>
      <c r="N198" s="171">
        <f t="shared" si="70"/>
        <v>0</v>
      </c>
      <c r="O198" s="172">
        <f t="shared" si="72"/>
        <v>530000</v>
      </c>
      <c r="P198" s="172">
        <f t="shared" si="72"/>
        <v>530000</v>
      </c>
      <c r="Q198" s="172">
        <f t="shared" si="72"/>
        <v>530000</v>
      </c>
      <c r="R198" s="173">
        <f t="shared" si="69"/>
        <v>530000</v>
      </c>
      <c r="S198" s="174">
        <f t="shared" si="71"/>
        <v>1142000</v>
      </c>
      <c r="T198" s="175">
        <f>ROUNDDOWN((S198/24*1.059)+(VLOOKUP(I198,구분자!$P:$Q,2,FALSE)*0.75),-3)</f>
        <v>110000</v>
      </c>
      <c r="W198" s="124"/>
    </row>
    <row r="199" spans="1:23" s="2" customFormat="1" ht="25.05" customHeight="1">
      <c r="A199" s="115" t="s">
        <v>757</v>
      </c>
      <c r="B199" s="120">
        <f>VLOOKUP($A199,출고가!$C:$E,3,FALSE)</f>
        <v>1672000</v>
      </c>
      <c r="C199" s="120" t="str">
        <f t="shared" si="68"/>
        <v>AIP15PM-256심플30G</v>
      </c>
      <c r="D199" s="125"/>
      <c r="E199" s="126"/>
      <c r="F199" s="211"/>
      <c r="G199" s="211"/>
      <c r="H199" s="127"/>
      <c r="I199" s="176" t="s">
        <v>988</v>
      </c>
      <c r="J199" s="177" t="s">
        <v>1522</v>
      </c>
      <c r="K199" s="178">
        <v>480000</v>
      </c>
      <c r="L199" s="178">
        <v>480000</v>
      </c>
      <c r="M199" s="178">
        <v>480000</v>
      </c>
      <c r="N199" s="179">
        <f t="shared" si="70"/>
        <v>0</v>
      </c>
      <c r="O199" s="178">
        <f t="shared" si="72"/>
        <v>480000</v>
      </c>
      <c r="P199" s="178">
        <f t="shared" si="72"/>
        <v>480000</v>
      </c>
      <c r="Q199" s="178">
        <f t="shared" si="72"/>
        <v>480000</v>
      </c>
      <c r="R199" s="180">
        <f t="shared" si="69"/>
        <v>480000</v>
      </c>
      <c r="S199" s="177">
        <f t="shared" si="71"/>
        <v>1192000</v>
      </c>
      <c r="T199" s="181">
        <f>ROUNDDOWN((S199/24*1.059)+(VLOOKUP(I199,구분자!$P:$Q,2,FALSE)*0.75),-3)</f>
        <v>98000</v>
      </c>
      <c r="W199" s="124"/>
    </row>
    <row r="200" spans="1:23" s="2" customFormat="1" ht="25.05" customHeight="1">
      <c r="A200" s="115" t="s">
        <v>757</v>
      </c>
      <c r="B200" s="120">
        <f>VLOOKUP($A200,출고가!$C:$E,3,FALSE)</f>
        <v>1672000</v>
      </c>
      <c r="C200" s="120" t="str">
        <f t="shared" si="68"/>
        <v>AIP15PM-256슬림10G</v>
      </c>
      <c r="D200" s="125"/>
      <c r="E200" s="126"/>
      <c r="F200" s="211"/>
      <c r="G200" s="211"/>
      <c r="H200" s="127"/>
      <c r="I200" s="176" t="s">
        <v>992</v>
      </c>
      <c r="J200" s="177" t="s">
        <v>1523</v>
      </c>
      <c r="K200" s="178">
        <v>430000</v>
      </c>
      <c r="L200" s="178">
        <v>430000</v>
      </c>
      <c r="M200" s="178">
        <v>430000</v>
      </c>
      <c r="N200" s="179">
        <f t="shared" si="70"/>
        <v>0</v>
      </c>
      <c r="O200" s="178">
        <f t="shared" si="72"/>
        <v>430000</v>
      </c>
      <c r="P200" s="178">
        <f t="shared" si="72"/>
        <v>430000</v>
      </c>
      <c r="Q200" s="178">
        <f t="shared" si="72"/>
        <v>430000</v>
      </c>
      <c r="R200" s="180">
        <f t="shared" si="69"/>
        <v>430000</v>
      </c>
      <c r="S200" s="177">
        <f t="shared" si="71"/>
        <v>1242000</v>
      </c>
      <c r="T200" s="181">
        <f>ROUNDDOWN((S200/24*1.059)+(VLOOKUP(I200,구분자!$P:$Q,2,FALSE)*0.75),-3)</f>
        <v>92000</v>
      </c>
      <c r="W200" s="124"/>
    </row>
    <row r="201" spans="1:23" s="2" customFormat="1" ht="25.05" customHeight="1">
      <c r="A201" s="115" t="s">
        <v>757</v>
      </c>
      <c r="B201" s="120">
        <f>VLOOKUP($A201,출고가!$C:$E,3,FALSE)</f>
        <v>1672000</v>
      </c>
      <c r="C201" s="120" t="str">
        <f t="shared" si="68"/>
        <v>AIP15PM-256슬림4G</v>
      </c>
      <c r="D201" s="125"/>
      <c r="E201" s="128"/>
      <c r="F201" s="212"/>
      <c r="G201" s="212"/>
      <c r="H201" s="129"/>
      <c r="I201" s="182" t="s">
        <v>990</v>
      </c>
      <c r="J201" s="183" t="s">
        <v>1524</v>
      </c>
      <c r="K201" s="184">
        <v>350000</v>
      </c>
      <c r="L201" s="184">
        <v>350000</v>
      </c>
      <c r="M201" s="184">
        <v>350000</v>
      </c>
      <c r="N201" s="185">
        <f t="shared" si="70"/>
        <v>0</v>
      </c>
      <c r="O201" s="184">
        <f t="shared" si="72"/>
        <v>350000</v>
      </c>
      <c r="P201" s="184">
        <f t="shared" si="72"/>
        <v>350000</v>
      </c>
      <c r="Q201" s="184">
        <f t="shared" si="72"/>
        <v>350000</v>
      </c>
      <c r="R201" s="186">
        <f t="shared" si="69"/>
        <v>350000</v>
      </c>
      <c r="S201" s="183">
        <f t="shared" si="71"/>
        <v>1322000</v>
      </c>
      <c r="T201" s="187">
        <f>ROUNDDOWN((S201/24*1.059)+(VLOOKUP(I201,구분자!$P:$Q,2,FALSE)*0.75),-3)</f>
        <v>86000</v>
      </c>
      <c r="W201" s="124"/>
    </row>
    <row r="202" spans="1:23" s="2" customFormat="1" ht="25.05" customHeight="1">
      <c r="A202" s="115" t="s">
        <v>759</v>
      </c>
      <c r="B202" s="120">
        <f>VLOOKUP($A202,출고가!$C:$E,3,FALSE)</f>
        <v>1980000</v>
      </c>
      <c r="C202" s="120" t="str">
        <f t="shared" si="68"/>
        <v>AIP15PM-512베이직</v>
      </c>
      <c r="D202" s="125"/>
      <c r="E202" s="130" t="s">
        <v>229</v>
      </c>
      <c r="F202" s="213" t="str">
        <f>A202</f>
        <v>AIP15PM-512</v>
      </c>
      <c r="G202" s="213" t="str">
        <f>VLOOKUP(F202,출고가!C:D,2,0)</f>
        <v>iPhone 15 Pro Max 512G</v>
      </c>
      <c r="H202" s="131">
        <f>B202</f>
        <v>1980000</v>
      </c>
      <c r="I202" s="169" t="s">
        <v>357</v>
      </c>
      <c r="J202" s="170" t="s">
        <v>1521</v>
      </c>
      <c r="K202" s="190">
        <v>530000</v>
      </c>
      <c r="L202" s="190">
        <v>530000</v>
      </c>
      <c r="M202" s="190">
        <v>530000</v>
      </c>
      <c r="N202" s="171">
        <f t="shared" si="70"/>
        <v>0</v>
      </c>
      <c r="O202" s="172">
        <f t="shared" si="72"/>
        <v>530000</v>
      </c>
      <c r="P202" s="172">
        <f t="shared" si="72"/>
        <v>530000</v>
      </c>
      <c r="Q202" s="172">
        <f t="shared" si="72"/>
        <v>530000</v>
      </c>
      <c r="R202" s="173">
        <f t="shared" si="69"/>
        <v>530000</v>
      </c>
      <c r="S202" s="174">
        <f t="shared" si="71"/>
        <v>1450000</v>
      </c>
      <c r="T202" s="175">
        <f>ROUNDDOWN((S202/24*1.059)+(VLOOKUP(I202,구분자!$P:$Q,2,FALSE)*0.75),-3)</f>
        <v>123000</v>
      </c>
      <c r="W202" s="124"/>
    </row>
    <row r="203" spans="1:23" s="2" customFormat="1" ht="25.05" customHeight="1">
      <c r="A203" s="115" t="s">
        <v>759</v>
      </c>
      <c r="B203" s="120">
        <f>VLOOKUP($A203,출고가!$C:$E,3,FALSE)</f>
        <v>1980000</v>
      </c>
      <c r="C203" s="120" t="str">
        <f t="shared" si="68"/>
        <v>AIP15PM-512심플30G</v>
      </c>
      <c r="D203" s="125"/>
      <c r="E203" s="126"/>
      <c r="F203" s="211"/>
      <c r="G203" s="211"/>
      <c r="H203" s="127"/>
      <c r="I203" s="176" t="s">
        <v>988</v>
      </c>
      <c r="J203" s="177" t="s">
        <v>1522</v>
      </c>
      <c r="K203" s="178">
        <v>480000</v>
      </c>
      <c r="L203" s="178">
        <v>480000</v>
      </c>
      <c r="M203" s="178">
        <v>480000</v>
      </c>
      <c r="N203" s="179">
        <f t="shared" si="70"/>
        <v>0</v>
      </c>
      <c r="O203" s="178">
        <f t="shared" si="72"/>
        <v>480000</v>
      </c>
      <c r="P203" s="178">
        <f t="shared" si="72"/>
        <v>480000</v>
      </c>
      <c r="Q203" s="178">
        <f t="shared" si="72"/>
        <v>480000</v>
      </c>
      <c r="R203" s="180">
        <f t="shared" si="69"/>
        <v>480000</v>
      </c>
      <c r="S203" s="177">
        <f t="shared" si="71"/>
        <v>1500000</v>
      </c>
      <c r="T203" s="181">
        <f>ROUNDDOWN((S203/24*1.059)+(VLOOKUP(I203,구분자!$P:$Q,2,FALSE)*0.75),-3)</f>
        <v>111000</v>
      </c>
      <c r="W203" s="124"/>
    </row>
    <row r="204" spans="1:23" s="2" customFormat="1" ht="25.05" customHeight="1">
      <c r="A204" s="115" t="s">
        <v>759</v>
      </c>
      <c r="B204" s="120">
        <f>VLOOKUP($A204,출고가!$C:$E,3,FALSE)</f>
        <v>1980000</v>
      </c>
      <c r="C204" s="120" t="str">
        <f t="shared" si="68"/>
        <v>AIP15PM-512슬림10G</v>
      </c>
      <c r="D204" s="125"/>
      <c r="E204" s="126"/>
      <c r="F204" s="211"/>
      <c r="G204" s="211"/>
      <c r="H204" s="127"/>
      <c r="I204" s="176" t="s">
        <v>992</v>
      </c>
      <c r="J204" s="177" t="s">
        <v>1523</v>
      </c>
      <c r="K204" s="178">
        <v>430000</v>
      </c>
      <c r="L204" s="178">
        <v>430000</v>
      </c>
      <c r="M204" s="178">
        <v>430000</v>
      </c>
      <c r="N204" s="179">
        <f t="shared" si="70"/>
        <v>0</v>
      </c>
      <c r="O204" s="178">
        <f t="shared" si="72"/>
        <v>430000</v>
      </c>
      <c r="P204" s="178">
        <f t="shared" si="72"/>
        <v>430000</v>
      </c>
      <c r="Q204" s="178">
        <f t="shared" si="72"/>
        <v>430000</v>
      </c>
      <c r="R204" s="180">
        <f t="shared" si="69"/>
        <v>430000</v>
      </c>
      <c r="S204" s="177">
        <f t="shared" si="71"/>
        <v>1550000</v>
      </c>
      <c r="T204" s="181">
        <f>ROUNDDOWN((S204/24*1.059)+(VLOOKUP(I204,구분자!$P:$Q,2,FALSE)*0.75),-3)</f>
        <v>105000</v>
      </c>
      <c r="W204" s="124"/>
    </row>
    <row r="205" spans="1:23" s="2" customFormat="1" ht="25.05" customHeight="1">
      <c r="A205" s="115" t="s">
        <v>759</v>
      </c>
      <c r="B205" s="120">
        <f>VLOOKUP($A205,출고가!$C:$E,3,FALSE)</f>
        <v>1980000</v>
      </c>
      <c r="C205" s="120" t="str">
        <f t="shared" si="68"/>
        <v>AIP15PM-512슬림4G</v>
      </c>
      <c r="D205" s="125"/>
      <c r="E205" s="128"/>
      <c r="F205" s="212"/>
      <c r="G205" s="212"/>
      <c r="H205" s="129"/>
      <c r="I205" s="182" t="s">
        <v>990</v>
      </c>
      <c r="J205" s="183" t="s">
        <v>1524</v>
      </c>
      <c r="K205" s="184">
        <v>350000</v>
      </c>
      <c r="L205" s="184">
        <v>350000</v>
      </c>
      <c r="M205" s="184">
        <v>350000</v>
      </c>
      <c r="N205" s="185">
        <f t="shared" si="70"/>
        <v>0</v>
      </c>
      <c r="O205" s="184">
        <f t="shared" si="72"/>
        <v>350000</v>
      </c>
      <c r="P205" s="184">
        <f t="shared" si="72"/>
        <v>350000</v>
      </c>
      <c r="Q205" s="184">
        <f t="shared" si="72"/>
        <v>350000</v>
      </c>
      <c r="R205" s="186">
        <f t="shared" si="69"/>
        <v>350000</v>
      </c>
      <c r="S205" s="183">
        <f t="shared" si="71"/>
        <v>1630000</v>
      </c>
      <c r="T205" s="187">
        <f>ROUNDDOWN((S205/24*1.059)+(VLOOKUP(I205,구분자!$P:$Q,2,FALSE)*0.75),-3)</f>
        <v>99000</v>
      </c>
      <c r="W205" s="124"/>
    </row>
    <row r="206" spans="1:23" s="2" customFormat="1" ht="25.05" customHeight="1">
      <c r="A206" s="115"/>
      <c r="B206" s="115"/>
      <c r="C206" s="115"/>
      <c r="D206" s="132"/>
      <c r="H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</row>
    <row r="207" spans="1:23" s="134" customFormat="1" ht="25.05" customHeight="1">
      <c r="A207" s="115"/>
      <c r="B207" s="115"/>
      <c r="C207" s="115"/>
      <c r="D207" s="132"/>
      <c r="E207" s="2"/>
      <c r="F207" s="2"/>
      <c r="G207" s="2"/>
      <c r="H207" s="133"/>
      <c r="I207" s="2"/>
      <c r="J207" s="2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2"/>
      <c r="V207" s="2"/>
      <c r="W207" s="2"/>
    </row>
    <row r="208" spans="1:23" s="134" customFormat="1" ht="25.05" customHeight="1">
      <c r="A208" s="115"/>
      <c r="B208" s="115"/>
      <c r="C208" s="115"/>
      <c r="D208" s="132"/>
      <c r="E208" s="2"/>
      <c r="F208" s="2"/>
      <c r="G208" s="2"/>
      <c r="H208" s="133"/>
      <c r="I208" s="2"/>
      <c r="J208" s="2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2"/>
      <c r="V208" s="2"/>
      <c r="W208" s="2"/>
    </row>
    <row r="209" spans="1:23" s="134" customFormat="1" ht="25.05" customHeight="1">
      <c r="A209" s="115"/>
      <c r="B209" s="115"/>
      <c r="C209" s="115"/>
      <c r="D209" s="132"/>
      <c r="E209" s="2"/>
      <c r="F209" s="2"/>
      <c r="G209" s="2"/>
      <c r="H209" s="133"/>
      <c r="I209" s="2"/>
      <c r="J209" s="2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2"/>
      <c r="V209" s="2"/>
      <c r="W209" s="2"/>
    </row>
    <row r="210" spans="1:23" s="134" customFormat="1" ht="25.05" customHeight="1">
      <c r="A210" s="2"/>
      <c r="B210" s="2"/>
      <c r="C210" s="2"/>
      <c r="D210" s="132"/>
      <c r="E210" s="2"/>
      <c r="F210" s="2"/>
      <c r="G210" s="2"/>
      <c r="H210" s="133"/>
      <c r="I210" s="2"/>
      <c r="J210" s="2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2"/>
      <c r="V210" s="2"/>
      <c r="W210" s="2"/>
    </row>
    <row r="211" spans="1:23" s="134" customFormat="1" ht="25.05" customHeight="1">
      <c r="A211" s="2"/>
      <c r="B211" s="2"/>
      <c r="C211" s="2"/>
      <c r="D211" s="132"/>
      <c r="E211" s="2"/>
      <c r="F211" s="2"/>
      <c r="G211" s="2"/>
      <c r="H211" s="133"/>
      <c r="I211" s="2"/>
      <c r="J211" s="2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2"/>
      <c r="V211" s="2"/>
      <c r="W211" s="2"/>
    </row>
    <row r="212" spans="1:23" s="73" customFormat="1" ht="25.05" customHeight="1">
      <c r="A212"/>
      <c r="B212"/>
      <c r="C212"/>
      <c r="D212" s="85"/>
      <c r="E212"/>
      <c r="F212"/>
      <c r="G212"/>
      <c r="H212" s="74"/>
      <c r="I212"/>
      <c r="J212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/>
      <c r="V212"/>
      <c r="W212"/>
    </row>
    <row r="213" spans="1:23" s="73" customFormat="1" ht="25.05" customHeight="1">
      <c r="A213"/>
      <c r="B213"/>
      <c r="C213"/>
      <c r="D213" s="85"/>
      <c r="E213"/>
      <c r="F213"/>
      <c r="G213"/>
      <c r="H213" s="74"/>
      <c r="I213"/>
      <c r="J213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/>
      <c r="V213"/>
      <c r="W213"/>
    </row>
    <row r="214" spans="1:23" s="73" customFormat="1" ht="25.05" customHeight="1">
      <c r="A214"/>
      <c r="B214"/>
      <c r="C214"/>
      <c r="D214" s="85"/>
      <c r="E214"/>
      <c r="F214"/>
      <c r="G214"/>
      <c r="H214" s="74"/>
      <c r="I214"/>
      <c r="J21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/>
      <c r="V214"/>
      <c r="W214"/>
    </row>
    <row r="215" spans="1:23" s="73" customFormat="1" ht="25.05" customHeight="1">
      <c r="A215" s="76"/>
      <c r="B215"/>
      <c r="C215"/>
      <c r="D215" s="85"/>
      <c r="E215"/>
      <c r="F215"/>
      <c r="G215"/>
      <c r="H215" s="74"/>
      <c r="I215"/>
      <c r="J215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/>
      <c r="V215"/>
      <c r="W215"/>
    </row>
  </sheetData>
  <mergeCells count="3">
    <mergeCell ref="K7:M7"/>
    <mergeCell ref="S7:T7"/>
    <mergeCell ref="J7:J8"/>
  </mergeCells>
  <phoneticPr fontId="2" type="noConversion"/>
  <conditionalFormatting sqref="S1:S5">
    <cfRule type="cellIs" dxfId="1" priority="77" operator="lessThan">
      <formula>300000</formula>
    </cfRule>
  </conditionalFormatting>
  <conditionalFormatting sqref="S7:S1048576">
    <cfRule type="cellIs" dxfId="0" priority="1" operator="lessThan">
      <formula>300000</formula>
    </cfRule>
  </conditionalFormatting>
  <dataValidations disablePrompts="1" count="1">
    <dataValidation type="list" allowBlank="1" showInputMessage="1" showErrorMessage="1" promptTitle="고객혜택(가입유형) 선택" sqref="R8" xr:uid="{00000000-0002-0000-0500-000000000000}">
      <formula1>$O$8:$Q$8</formula1>
    </dataValidation>
  </dataValidations>
  <hyperlinks>
    <hyperlink ref="F1" r:id="rId1" xr:uid="{00000000-0004-0000-0500-000000000000}"/>
    <hyperlink ref="H2" r:id="rId2" display="https://shop.kt.com/smart/supportAmtList.do" xr:uid="{00000000-0004-0000-0500-000001000000}"/>
  </hyperlinks>
  <pageMargins left="0.70866141732283472" right="0.70866141732283472" top="0.74803149606299213" bottom="0.74803149606299213" header="0.31496062992125984" footer="0.31496062992125984"/>
  <pageSetup paperSize="8" scale="50" fitToHeight="2" orientation="portrait"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500-000001000000}">
          <x14:formula1>
            <xm:f>구분자!$K$2:$K$5</xm:f>
          </x14:formula1>
          <xm:sqref>N8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42"/>
  <sheetViews>
    <sheetView workbookViewId="0">
      <selection activeCell="P26" sqref="P26"/>
    </sheetView>
  </sheetViews>
  <sheetFormatPr defaultRowHeight="17.399999999999999"/>
  <cols>
    <col min="1" max="2" width="8.69921875" style="39"/>
    <col min="3" max="3" width="9" hidden="1" customWidth="1"/>
    <col min="4" max="4" width="12.69921875" hidden="1" customWidth="1"/>
    <col min="5" max="5" width="12.5" hidden="1" customWidth="1"/>
    <col min="6" max="7" width="11.796875" hidden="1" customWidth="1"/>
    <col min="8" max="8" width="2.59765625" style="39" hidden="1" customWidth="1"/>
    <col min="9" max="9" width="9" customWidth="1"/>
    <col min="10" max="10" width="12.69921875" customWidth="1"/>
    <col min="11" max="11" width="12.5" customWidth="1"/>
    <col min="12" max="13" width="11.796875" customWidth="1"/>
    <col min="14" max="20" width="8.69921875" style="39"/>
  </cols>
  <sheetData>
    <row r="1" spans="3:13" s="39" customFormat="1"/>
    <row r="2" spans="3:13" s="39" customFormat="1"/>
    <row r="3" spans="3:13" s="39" customFormat="1"/>
    <row r="4" spans="3:13" s="39" customFormat="1"/>
    <row r="5" spans="3:13" s="39" customFormat="1" ht="20.399999999999999">
      <c r="C5" s="319" t="s">
        <v>1676</v>
      </c>
      <c r="D5" s="320"/>
      <c r="E5" s="320"/>
      <c r="I5" s="319" t="s">
        <v>1677</v>
      </c>
      <c r="J5" s="320"/>
      <c r="K5" s="320"/>
    </row>
    <row r="6" spans="3:13">
      <c r="C6" s="39"/>
      <c r="D6" s="39"/>
      <c r="E6" s="39"/>
      <c r="F6" s="317" t="s">
        <v>1674</v>
      </c>
      <c r="G6" s="317" t="s">
        <v>1675</v>
      </c>
      <c r="I6" s="39"/>
      <c r="J6" s="39"/>
      <c r="K6" s="39"/>
      <c r="L6" s="317" t="s">
        <v>1674</v>
      </c>
      <c r="M6" s="317" t="s">
        <v>1675</v>
      </c>
    </row>
    <row r="7" spans="3:13">
      <c r="C7" s="358" t="s">
        <v>1658</v>
      </c>
      <c r="D7" s="358"/>
      <c r="E7" s="311" t="s">
        <v>1659</v>
      </c>
      <c r="F7" s="312">
        <v>1544400</v>
      </c>
      <c r="G7" s="312">
        <v>1544400</v>
      </c>
      <c r="I7" s="358" t="s">
        <v>1658</v>
      </c>
      <c r="J7" s="358"/>
      <c r="K7" s="311" t="s">
        <v>1659</v>
      </c>
      <c r="L7" s="312">
        <v>1133000</v>
      </c>
      <c r="M7" s="312">
        <v>1133000</v>
      </c>
    </row>
    <row r="8" spans="3:13">
      <c r="C8" s="359"/>
      <c r="D8" s="359"/>
      <c r="E8" s="313" t="s">
        <v>1660</v>
      </c>
      <c r="F8" s="314">
        <f>550000+100000</f>
        <v>650000</v>
      </c>
      <c r="G8" s="314">
        <f>550000+100000</f>
        <v>650000</v>
      </c>
      <c r="I8" s="359"/>
      <c r="J8" s="359"/>
      <c r="K8" s="313" t="s">
        <v>1660</v>
      </c>
      <c r="L8" s="314">
        <v>520000</v>
      </c>
      <c r="M8" s="314">
        <v>520000</v>
      </c>
    </row>
    <row r="9" spans="3:13">
      <c r="C9" s="359"/>
      <c r="D9" s="359"/>
      <c r="E9" s="313" t="s">
        <v>1661</v>
      </c>
      <c r="F9" s="314">
        <v>600000</v>
      </c>
      <c r="G9" s="314"/>
      <c r="I9" s="359"/>
      <c r="J9" s="359"/>
      <c r="K9" s="313" t="s">
        <v>1661</v>
      </c>
      <c r="L9" s="314">
        <v>600000</v>
      </c>
      <c r="M9" s="314"/>
    </row>
    <row r="10" spans="3:13">
      <c r="C10" s="360"/>
      <c r="D10" s="360"/>
      <c r="E10" s="315" t="s">
        <v>1662</v>
      </c>
      <c r="F10" s="316">
        <f>F7-F8-F9</f>
        <v>294400</v>
      </c>
      <c r="G10" s="316">
        <f>G7-G8-G9</f>
        <v>894400</v>
      </c>
      <c r="I10" s="360"/>
      <c r="J10" s="360"/>
      <c r="K10" s="315" t="s">
        <v>1662</v>
      </c>
      <c r="L10" s="316">
        <f>L7-L8-L9</f>
        <v>13000</v>
      </c>
      <c r="M10" s="316">
        <f>M7-M8-M9</f>
        <v>613000</v>
      </c>
    </row>
    <row r="11" spans="3:13">
      <c r="C11" s="361" t="s">
        <v>1663</v>
      </c>
      <c r="D11" s="361"/>
      <c r="E11" s="307" t="s">
        <v>1664</v>
      </c>
      <c r="F11" s="308">
        <v>80000</v>
      </c>
      <c r="G11" s="308">
        <v>80000</v>
      </c>
      <c r="I11" s="361" t="s">
        <v>1663</v>
      </c>
      <c r="J11" s="361"/>
      <c r="K11" s="307" t="s">
        <v>1678</v>
      </c>
      <c r="L11" s="308">
        <v>47000</v>
      </c>
      <c r="M11" s="308">
        <v>47000</v>
      </c>
    </row>
    <row r="12" spans="3:13">
      <c r="C12" s="361" t="s">
        <v>1665</v>
      </c>
      <c r="D12" s="358" t="s">
        <v>1667</v>
      </c>
      <c r="E12" s="311" t="s">
        <v>1669</v>
      </c>
      <c r="F12" s="312">
        <f>F10/24+F10*5.9%/24</f>
        <v>12990.4</v>
      </c>
      <c r="G12" s="312">
        <f>G10/24+G10*5.9%/24</f>
        <v>39465.399999999994</v>
      </c>
      <c r="I12" s="361" t="s">
        <v>1665</v>
      </c>
      <c r="J12" s="358" t="s">
        <v>1680</v>
      </c>
      <c r="K12" s="311" t="s">
        <v>1669</v>
      </c>
      <c r="L12" s="312">
        <f>L10/24+L10*5.9%/24</f>
        <v>573.625</v>
      </c>
      <c r="M12" s="312">
        <f>M10/24+M10*5.9%/24</f>
        <v>27048.625</v>
      </c>
    </row>
    <row r="13" spans="3:13">
      <c r="C13" s="361"/>
      <c r="D13" s="359"/>
      <c r="E13" s="313" t="s">
        <v>1670</v>
      </c>
      <c r="F13" s="314">
        <v>80000</v>
      </c>
      <c r="G13" s="314">
        <f>80000*0.75</f>
        <v>60000</v>
      </c>
      <c r="I13" s="361"/>
      <c r="J13" s="359"/>
      <c r="K13" s="313" t="s">
        <v>1679</v>
      </c>
      <c r="L13" s="314">
        <f>L11</f>
        <v>47000</v>
      </c>
      <c r="M13" s="314">
        <f>M11*0.75</f>
        <v>35250</v>
      </c>
    </row>
    <row r="14" spans="3:13">
      <c r="C14" s="361"/>
      <c r="D14" s="360"/>
      <c r="E14" s="315" t="s">
        <v>1666</v>
      </c>
      <c r="F14" s="316">
        <f>F12+F13</f>
        <v>92990.399999999994</v>
      </c>
      <c r="G14" s="316">
        <f>G12+G13</f>
        <v>99465.4</v>
      </c>
      <c r="I14" s="361"/>
      <c r="J14" s="360"/>
      <c r="K14" s="315" t="s">
        <v>1666</v>
      </c>
      <c r="L14" s="316">
        <f>L12+L13</f>
        <v>47573.625</v>
      </c>
      <c r="M14" s="316">
        <f>M12+M13</f>
        <v>62298.625</v>
      </c>
    </row>
    <row r="15" spans="3:13" hidden="1">
      <c r="C15" s="361"/>
      <c r="D15" s="358" t="s">
        <v>1668</v>
      </c>
      <c r="E15" s="311" t="s">
        <v>1671</v>
      </c>
      <c r="F15" s="312">
        <f>F12</f>
        <v>12990.4</v>
      </c>
      <c r="G15" s="312">
        <f>G12</f>
        <v>39465.399999999994</v>
      </c>
      <c r="I15" s="361"/>
      <c r="J15" s="358" t="s">
        <v>1668</v>
      </c>
      <c r="K15" s="311" t="s">
        <v>1671</v>
      </c>
      <c r="L15" s="312">
        <f>L12</f>
        <v>573.625</v>
      </c>
      <c r="M15" s="312">
        <f>M12</f>
        <v>27048.625</v>
      </c>
    </row>
    <row r="16" spans="3:13" hidden="1">
      <c r="C16" s="361"/>
      <c r="D16" s="359"/>
      <c r="E16" s="313" t="s">
        <v>1672</v>
      </c>
      <c r="F16" s="314">
        <v>55000</v>
      </c>
      <c r="G16" s="314">
        <f>55000*0.75</f>
        <v>41250</v>
      </c>
      <c r="I16" s="361"/>
      <c r="J16" s="359"/>
      <c r="K16" s="313" t="s">
        <v>1672</v>
      </c>
      <c r="L16" s="314">
        <v>55000</v>
      </c>
      <c r="M16" s="314">
        <f>55000*0.75</f>
        <v>41250</v>
      </c>
    </row>
    <row r="17" spans="3:13" hidden="1">
      <c r="C17" s="361"/>
      <c r="D17" s="360"/>
      <c r="E17" s="315" t="s">
        <v>1666</v>
      </c>
      <c r="F17" s="316">
        <f>F15+F16</f>
        <v>67990.399999999994</v>
      </c>
      <c r="G17" s="316">
        <f>G15+G16</f>
        <v>80715.399999999994</v>
      </c>
      <c r="I17" s="361"/>
      <c r="J17" s="360"/>
      <c r="K17" s="315" t="s">
        <v>1666</v>
      </c>
      <c r="L17" s="316">
        <f>L15+L16</f>
        <v>55573.625</v>
      </c>
      <c r="M17" s="316">
        <f>M15+M16</f>
        <v>68298.625</v>
      </c>
    </row>
    <row r="18" spans="3:13">
      <c r="C18" s="357" t="s">
        <v>1673</v>
      </c>
      <c r="D18" s="357"/>
      <c r="E18" s="309"/>
      <c r="F18" s="310">
        <f>F14*6+F17*18</f>
        <v>1781769.5999999999</v>
      </c>
      <c r="G18" s="310">
        <f>G14*6+G17*18</f>
        <v>2049669.5999999999</v>
      </c>
      <c r="I18" s="357" t="s">
        <v>1673</v>
      </c>
      <c r="J18" s="357"/>
      <c r="K18" s="309"/>
      <c r="L18" s="310">
        <f>L14*24</f>
        <v>1141767</v>
      </c>
      <c r="M18" s="310">
        <f>M14*24</f>
        <v>1495167</v>
      </c>
    </row>
    <row r="19" spans="3:13" s="39" customFormat="1">
      <c r="F19" s="318"/>
      <c r="G19" s="318"/>
      <c r="L19" s="318"/>
      <c r="M19" s="318"/>
    </row>
    <row r="20" spans="3:13" s="39" customFormat="1">
      <c r="F20" s="318"/>
      <c r="G20" s="318"/>
      <c r="L20" s="318"/>
      <c r="M20" s="318"/>
    </row>
    <row r="21" spans="3:13" s="39" customFormat="1">
      <c r="F21" s="318"/>
      <c r="G21" s="318"/>
      <c r="L21" s="318"/>
      <c r="M21" s="318"/>
    </row>
    <row r="22" spans="3:13" s="39" customFormat="1"/>
    <row r="23" spans="3:13" s="39" customFormat="1"/>
    <row r="24" spans="3:13" s="39" customFormat="1"/>
    <row r="25" spans="3:13" s="39" customFormat="1"/>
    <row r="26" spans="3:13" s="39" customFormat="1"/>
    <row r="27" spans="3:13" s="39" customFormat="1"/>
    <row r="28" spans="3:13" s="39" customFormat="1"/>
    <row r="29" spans="3:13" s="39" customFormat="1"/>
    <row r="30" spans="3:13" s="39" customFormat="1"/>
    <row r="31" spans="3:13" s="39" customFormat="1"/>
    <row r="32" spans="3:13" s="39" customFormat="1"/>
    <row r="33" s="39" customFormat="1"/>
    <row r="34" s="39" customFormat="1"/>
    <row r="35" s="39" customFormat="1"/>
    <row r="36" s="39" customFormat="1"/>
    <row r="37" s="39" customFormat="1"/>
    <row r="38" s="39" customFormat="1"/>
    <row r="39" s="39" customFormat="1"/>
    <row r="40" s="39" customFormat="1"/>
    <row r="41" s="39" customFormat="1"/>
    <row r="42" s="39" customFormat="1"/>
  </sheetData>
  <mergeCells count="12">
    <mergeCell ref="I18:J18"/>
    <mergeCell ref="C7:D10"/>
    <mergeCell ref="C11:D11"/>
    <mergeCell ref="D12:D14"/>
    <mergeCell ref="D15:D17"/>
    <mergeCell ref="C12:C17"/>
    <mergeCell ref="C18:D18"/>
    <mergeCell ref="I7:J10"/>
    <mergeCell ref="I11:J11"/>
    <mergeCell ref="I12:I17"/>
    <mergeCell ref="J12:J14"/>
    <mergeCell ref="J15:J17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2:F99"/>
  <sheetViews>
    <sheetView workbookViewId="0">
      <selection activeCell="G26" sqref="G26"/>
    </sheetView>
  </sheetViews>
  <sheetFormatPr defaultRowHeight="17.399999999999999"/>
  <cols>
    <col min="3" max="3" width="31.09765625" bestFit="1" customWidth="1"/>
    <col min="4" max="4" width="9.296875" style="74" bestFit="1" customWidth="1"/>
    <col min="5" max="7" width="8.69921875"/>
  </cols>
  <sheetData>
    <row r="2" spans="3:4">
      <c r="C2" t="s">
        <v>204</v>
      </c>
    </row>
    <row r="4" spans="3:4">
      <c r="C4" t="s">
        <v>619</v>
      </c>
      <c r="D4" s="74">
        <v>130000</v>
      </c>
    </row>
    <row r="5" spans="3:4">
      <c r="C5" t="s">
        <v>604</v>
      </c>
      <c r="D5" s="74">
        <v>130000</v>
      </c>
    </row>
    <row r="6" spans="3:4">
      <c r="C6" t="s">
        <v>564</v>
      </c>
      <c r="D6" s="74">
        <v>130000</v>
      </c>
    </row>
    <row r="7" spans="3:4">
      <c r="C7" t="s">
        <v>1430</v>
      </c>
      <c r="D7" s="74">
        <v>130000</v>
      </c>
    </row>
    <row r="8" spans="3:4">
      <c r="C8" t="s">
        <v>713</v>
      </c>
      <c r="D8" s="74">
        <v>130000</v>
      </c>
    </row>
    <row r="9" spans="3:4">
      <c r="C9" t="s">
        <v>579</v>
      </c>
      <c r="D9" s="74">
        <v>130000</v>
      </c>
    </row>
    <row r="10" spans="3:4">
      <c r="C10" t="s">
        <v>627</v>
      </c>
      <c r="D10" s="74">
        <v>130000</v>
      </c>
    </row>
    <row r="11" spans="3:4">
      <c r="C11" t="s">
        <v>575</v>
      </c>
      <c r="D11" s="74">
        <v>130000</v>
      </c>
    </row>
    <row r="12" spans="3:4">
      <c r="C12" t="s">
        <v>595</v>
      </c>
      <c r="D12" s="74">
        <v>130000</v>
      </c>
    </row>
    <row r="13" spans="3:4">
      <c r="C13" t="s">
        <v>633</v>
      </c>
      <c r="D13" s="74">
        <v>130000</v>
      </c>
    </row>
    <row r="14" spans="3:4">
      <c r="C14" t="s">
        <v>587</v>
      </c>
      <c r="D14" s="74">
        <v>130000</v>
      </c>
    </row>
    <row r="15" spans="3:4">
      <c r="C15" t="s">
        <v>608</v>
      </c>
      <c r="D15" s="74">
        <v>130000</v>
      </c>
    </row>
    <row r="18" spans="3:4">
      <c r="C18" t="s">
        <v>1431</v>
      </c>
      <c r="D18" s="74">
        <v>110000</v>
      </c>
    </row>
    <row r="19" spans="3:4">
      <c r="C19" t="s">
        <v>1432</v>
      </c>
      <c r="D19" s="74">
        <v>110000</v>
      </c>
    </row>
    <row r="20" spans="3:4">
      <c r="C20" t="s">
        <v>605</v>
      </c>
      <c r="D20" s="74">
        <v>110000</v>
      </c>
    </row>
    <row r="21" spans="3:4">
      <c r="C21" t="s">
        <v>557</v>
      </c>
      <c r="D21" s="74">
        <v>110000</v>
      </c>
    </row>
    <row r="22" spans="3:4">
      <c r="C22" t="s">
        <v>1433</v>
      </c>
      <c r="D22" s="74">
        <v>110000</v>
      </c>
    </row>
    <row r="23" spans="3:4">
      <c r="C23" t="s">
        <v>715</v>
      </c>
      <c r="D23" s="74">
        <v>110000</v>
      </c>
    </row>
    <row r="24" spans="3:4">
      <c r="C24" t="s">
        <v>585</v>
      </c>
      <c r="D24" s="74">
        <v>110000</v>
      </c>
    </row>
    <row r="25" spans="3:4">
      <c r="C25" t="s">
        <v>630</v>
      </c>
      <c r="D25" s="74">
        <v>110000</v>
      </c>
    </row>
    <row r="26" spans="3:4">
      <c r="C26" t="s">
        <v>570</v>
      </c>
      <c r="D26" s="74">
        <v>110000</v>
      </c>
    </row>
    <row r="27" spans="3:4">
      <c r="C27" t="s">
        <v>600</v>
      </c>
      <c r="D27" s="74">
        <v>110000</v>
      </c>
    </row>
    <row r="28" spans="3:4">
      <c r="C28" t="s">
        <v>637</v>
      </c>
      <c r="D28" s="74">
        <v>110000</v>
      </c>
    </row>
    <row r="29" spans="3:4">
      <c r="C29" t="s">
        <v>591</v>
      </c>
      <c r="D29" s="74">
        <v>110000</v>
      </c>
    </row>
    <row r="30" spans="3:4">
      <c r="C30" t="s">
        <v>614</v>
      </c>
      <c r="D30" s="74">
        <v>110000</v>
      </c>
    </row>
    <row r="31" spans="3:4">
      <c r="C31" t="s">
        <v>1434</v>
      </c>
      <c r="D31" s="74">
        <v>110000</v>
      </c>
    </row>
    <row r="32" spans="3:4">
      <c r="C32" t="s">
        <v>1435</v>
      </c>
      <c r="D32" s="74">
        <v>110000</v>
      </c>
    </row>
    <row r="34" spans="3:4">
      <c r="C34" t="s">
        <v>555</v>
      </c>
      <c r="D34" s="74">
        <v>100000</v>
      </c>
    </row>
    <row r="35" spans="3:4">
      <c r="C35" t="s">
        <v>1436</v>
      </c>
      <c r="D35" s="74">
        <v>90000</v>
      </c>
    </row>
    <row r="36" spans="3:4">
      <c r="C36" t="s">
        <v>1437</v>
      </c>
      <c r="D36" s="74">
        <v>90000</v>
      </c>
    </row>
    <row r="37" spans="3:4">
      <c r="C37" t="s">
        <v>636</v>
      </c>
      <c r="D37" s="74">
        <v>90000</v>
      </c>
    </row>
    <row r="38" spans="3:4">
      <c r="C38" t="s">
        <v>577</v>
      </c>
      <c r="D38" s="74">
        <v>90000</v>
      </c>
    </row>
    <row r="39" spans="3:4">
      <c r="C39" t="s">
        <v>1438</v>
      </c>
      <c r="D39" s="74">
        <v>90000</v>
      </c>
    </row>
    <row r="40" spans="3:4">
      <c r="C40" t="s">
        <v>1439</v>
      </c>
      <c r="D40" s="74">
        <v>90000</v>
      </c>
    </row>
    <row r="41" spans="3:4">
      <c r="C41" t="s">
        <v>1440</v>
      </c>
      <c r="D41" s="74">
        <v>90000</v>
      </c>
    </row>
    <row r="42" spans="3:4">
      <c r="C42" t="s">
        <v>1441</v>
      </c>
      <c r="D42" s="74">
        <v>90000</v>
      </c>
    </row>
    <row r="43" spans="3:4">
      <c r="C43" t="s">
        <v>1442</v>
      </c>
      <c r="D43" s="74">
        <v>90000</v>
      </c>
    </row>
    <row r="44" spans="3:4">
      <c r="C44" t="s">
        <v>1443</v>
      </c>
      <c r="D44" s="74">
        <v>90000</v>
      </c>
    </row>
    <row r="45" spans="3:4">
      <c r="C45" t="s">
        <v>1444</v>
      </c>
      <c r="D45" s="74">
        <v>90000</v>
      </c>
    </row>
    <row r="46" spans="3:4">
      <c r="C46" t="s">
        <v>1445</v>
      </c>
      <c r="D46" s="74">
        <v>90000</v>
      </c>
    </row>
    <row r="47" spans="3:4">
      <c r="C47" t="s">
        <v>1446</v>
      </c>
      <c r="D47" s="74">
        <v>90000</v>
      </c>
    </row>
    <row r="48" spans="3:4">
      <c r="C48" t="s">
        <v>1447</v>
      </c>
      <c r="D48" s="74">
        <v>90000</v>
      </c>
    </row>
    <row r="49" spans="3:6">
      <c r="C49" t="s">
        <v>1448</v>
      </c>
      <c r="D49" s="74">
        <v>90000</v>
      </c>
    </row>
    <row r="52" spans="3:6">
      <c r="C52" t="s">
        <v>562</v>
      </c>
      <c r="D52" s="74">
        <v>100000</v>
      </c>
    </row>
    <row r="53" spans="3:6">
      <c r="C53" t="s">
        <v>1449</v>
      </c>
      <c r="D53" s="74">
        <v>80000</v>
      </c>
    </row>
    <row r="54" spans="3:6">
      <c r="C54" t="s">
        <v>593</v>
      </c>
      <c r="D54" s="74">
        <v>55000</v>
      </c>
    </row>
    <row r="55" spans="3:6">
      <c r="C55" t="s">
        <v>581</v>
      </c>
      <c r="D55" s="74">
        <v>47000</v>
      </c>
      <c r="E55">
        <v>55000</v>
      </c>
      <c r="F55" t="s">
        <v>1450</v>
      </c>
    </row>
    <row r="57" spans="3:6">
      <c r="C57" t="s">
        <v>357</v>
      </c>
      <c r="D57" s="74">
        <v>80000</v>
      </c>
    </row>
    <row r="58" spans="3:6">
      <c r="C58" t="s">
        <v>567</v>
      </c>
      <c r="D58" s="74">
        <v>69000</v>
      </c>
    </row>
    <row r="59" spans="3:6">
      <c r="C59" t="s">
        <v>1008</v>
      </c>
      <c r="D59" s="74">
        <v>69000</v>
      </c>
    </row>
    <row r="60" spans="3:6">
      <c r="C60" t="s">
        <v>1451</v>
      </c>
      <c r="D60" s="74">
        <v>65000</v>
      </c>
    </row>
    <row r="61" spans="3:6">
      <c r="C61" t="s">
        <v>1013</v>
      </c>
      <c r="D61" s="74">
        <v>63000</v>
      </c>
    </row>
    <row r="62" spans="3:6">
      <c r="C62" t="s">
        <v>1018</v>
      </c>
      <c r="D62" s="74">
        <v>61000</v>
      </c>
    </row>
    <row r="63" spans="3:6">
      <c r="C63" t="s">
        <v>1452</v>
      </c>
      <c r="D63" s="74">
        <v>61000</v>
      </c>
    </row>
    <row r="64" spans="3:6">
      <c r="C64" t="s">
        <v>1019</v>
      </c>
      <c r="D64" s="74">
        <v>58000</v>
      </c>
    </row>
    <row r="65" spans="3:6">
      <c r="C65" t="s">
        <v>1453</v>
      </c>
      <c r="D65" s="74">
        <v>58000</v>
      </c>
    </row>
    <row r="66" spans="3:6">
      <c r="C66" t="s">
        <v>1454</v>
      </c>
      <c r="D66" s="74">
        <v>55000</v>
      </c>
    </row>
    <row r="67" spans="3:6">
      <c r="C67" t="s">
        <v>1003</v>
      </c>
      <c r="D67" s="74">
        <v>55000</v>
      </c>
    </row>
    <row r="68" spans="3:6">
      <c r="C68" t="s">
        <v>1005</v>
      </c>
      <c r="D68" s="74">
        <v>55000</v>
      </c>
    </row>
    <row r="69" spans="3:6">
      <c r="C69" t="s">
        <v>1023</v>
      </c>
      <c r="D69" s="74">
        <v>50000</v>
      </c>
    </row>
    <row r="70" spans="3:6">
      <c r="C70" t="s">
        <v>1455</v>
      </c>
      <c r="D70" s="74">
        <v>50000</v>
      </c>
    </row>
    <row r="71" spans="3:6">
      <c r="C71" t="s">
        <v>1456</v>
      </c>
      <c r="D71" s="74">
        <v>50000</v>
      </c>
    </row>
    <row r="72" spans="3:6">
      <c r="C72" t="s">
        <v>1457</v>
      </c>
      <c r="D72" s="74">
        <v>45000</v>
      </c>
    </row>
    <row r="73" spans="3:6">
      <c r="C73" t="s">
        <v>1458</v>
      </c>
      <c r="D73" s="74">
        <v>45000</v>
      </c>
    </row>
    <row r="74" spans="3:6">
      <c r="C74" t="s">
        <v>1016</v>
      </c>
      <c r="D74" s="74">
        <v>45000</v>
      </c>
    </row>
    <row r="75" spans="3:6">
      <c r="C75" t="s">
        <v>1027</v>
      </c>
      <c r="D75" s="74">
        <v>37000</v>
      </c>
    </row>
    <row r="76" spans="3:6">
      <c r="C76" t="s">
        <v>1029</v>
      </c>
      <c r="D76" s="74">
        <v>37000</v>
      </c>
    </row>
    <row r="77" spans="3:6">
      <c r="C77" t="s">
        <v>1459</v>
      </c>
      <c r="D77" s="74">
        <v>38000</v>
      </c>
      <c r="E77">
        <v>55000</v>
      </c>
      <c r="F77" t="s">
        <v>1460</v>
      </c>
    </row>
    <row r="78" spans="3:6">
      <c r="C78" t="s">
        <v>1461</v>
      </c>
      <c r="D78" s="74">
        <v>28000</v>
      </c>
      <c r="E78">
        <v>45000</v>
      </c>
      <c r="F78" t="s">
        <v>1462</v>
      </c>
    </row>
    <row r="81" spans="3:6">
      <c r="C81" t="s">
        <v>1463</v>
      </c>
      <c r="D81" s="74">
        <v>49000</v>
      </c>
      <c r="E81">
        <v>61000</v>
      </c>
      <c r="F81" t="s">
        <v>1464</v>
      </c>
    </row>
    <row r="82" spans="3:6">
      <c r="C82" t="s">
        <v>1465</v>
      </c>
      <c r="D82" s="74">
        <v>44000</v>
      </c>
      <c r="E82">
        <v>55000</v>
      </c>
      <c r="F82" t="s">
        <v>1460</v>
      </c>
    </row>
    <row r="83" spans="3:6">
      <c r="C83" t="s">
        <v>1466</v>
      </c>
      <c r="D83" s="74">
        <v>42000</v>
      </c>
      <c r="E83">
        <v>55000</v>
      </c>
      <c r="F83" t="s">
        <v>1450</v>
      </c>
    </row>
    <row r="84" spans="3:6">
      <c r="C84" t="s">
        <v>1467</v>
      </c>
      <c r="D84" s="74">
        <v>41000</v>
      </c>
      <c r="E84">
        <v>55000</v>
      </c>
      <c r="F84" t="s">
        <v>1460</v>
      </c>
    </row>
    <row r="87" spans="3:6">
      <c r="C87" t="s">
        <v>1468</v>
      </c>
      <c r="D87" s="74">
        <v>80000</v>
      </c>
    </row>
    <row r="88" spans="3:6">
      <c r="C88" t="s">
        <v>1469</v>
      </c>
      <c r="D88" s="74">
        <v>69000</v>
      </c>
    </row>
    <row r="89" spans="3:6">
      <c r="C89" t="s">
        <v>1470</v>
      </c>
      <c r="D89" s="74">
        <v>55000</v>
      </c>
    </row>
    <row r="92" spans="3:6">
      <c r="C92" t="s">
        <v>1097</v>
      </c>
      <c r="D92" s="74">
        <v>33000</v>
      </c>
    </row>
    <row r="93" spans="3:6">
      <c r="C93" t="s">
        <v>1471</v>
      </c>
      <c r="D93" s="74">
        <v>11000</v>
      </c>
    </row>
    <row r="94" spans="3:6">
      <c r="C94" t="s">
        <v>1472</v>
      </c>
      <c r="D94" s="74">
        <v>19800</v>
      </c>
    </row>
    <row r="95" spans="3:6">
      <c r="C95" t="s">
        <v>1473</v>
      </c>
      <c r="D95" s="74">
        <v>49000</v>
      </c>
    </row>
    <row r="96" spans="3:6">
      <c r="C96" t="s">
        <v>1065</v>
      </c>
      <c r="D96" s="74">
        <v>69000</v>
      </c>
    </row>
    <row r="97" spans="3:4">
      <c r="C97" t="s">
        <v>663</v>
      </c>
      <c r="D97" s="74">
        <v>49000</v>
      </c>
    </row>
    <row r="98" spans="3:4">
      <c r="C98" t="s">
        <v>1093</v>
      </c>
      <c r="D98" s="74">
        <v>49000</v>
      </c>
    </row>
    <row r="99" spans="3:4">
      <c r="C99" t="s">
        <v>1474</v>
      </c>
      <c r="D99" s="74">
        <v>65800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E105"/>
  <sheetViews>
    <sheetView workbookViewId="0">
      <selection activeCell="I26" sqref="I26"/>
    </sheetView>
  </sheetViews>
  <sheetFormatPr defaultRowHeight="17.399999999999999"/>
  <cols>
    <col min="1" max="1" width="3.296875" customWidth="1"/>
    <col min="2" max="2" width="17.09765625" style="43" customWidth="1"/>
    <col min="3" max="3" width="23.69921875" style="43" customWidth="1"/>
    <col min="4" max="4" width="12.796875" style="43" customWidth="1"/>
    <col min="5" max="5" width="80.5" style="43" customWidth="1"/>
  </cols>
  <sheetData>
    <row r="3" spans="2:5" s="159" customFormat="1" ht="20.100000000000001" customHeight="1">
      <c r="B3" s="233" t="s">
        <v>669</v>
      </c>
      <c r="C3" s="233" t="s">
        <v>238</v>
      </c>
      <c r="D3" s="233" t="s">
        <v>858</v>
      </c>
      <c r="E3" s="233" t="s">
        <v>859</v>
      </c>
    </row>
    <row r="4" spans="2:5" s="159" customFormat="1" ht="20.100000000000001" hidden="1" customHeight="1">
      <c r="B4" s="362"/>
      <c r="C4" s="362"/>
      <c r="D4" s="229" t="s">
        <v>145</v>
      </c>
      <c r="E4" s="230"/>
    </row>
    <row r="5" spans="2:5" s="159" customFormat="1" ht="20.100000000000001" hidden="1" customHeight="1">
      <c r="B5" s="362"/>
      <c r="C5" s="362"/>
      <c r="D5" s="229" t="s">
        <v>190</v>
      </c>
      <c r="E5" s="230"/>
    </row>
    <row r="6" spans="2:5" s="159" customFormat="1" ht="20.100000000000001" hidden="1" customHeight="1">
      <c r="B6" s="362"/>
      <c r="C6" s="362"/>
      <c r="D6" s="229" t="s">
        <v>146</v>
      </c>
      <c r="E6" s="230"/>
    </row>
    <row r="7" spans="2:5" s="159" customFormat="1" ht="20.100000000000001" customHeight="1">
      <c r="B7" s="363" t="s">
        <v>1383</v>
      </c>
      <c r="C7" s="362" t="s">
        <v>1384</v>
      </c>
      <c r="D7" s="229" t="s">
        <v>145</v>
      </c>
      <c r="E7" s="230" t="s">
        <v>1387</v>
      </c>
    </row>
    <row r="8" spans="2:5" s="159" customFormat="1" ht="20.100000000000001" customHeight="1">
      <c r="B8" s="364"/>
      <c r="C8" s="362"/>
      <c r="D8" s="229" t="s">
        <v>190</v>
      </c>
      <c r="E8" s="230" t="s">
        <v>1385</v>
      </c>
    </row>
    <row r="9" spans="2:5" s="159" customFormat="1" ht="20.100000000000001" customHeight="1">
      <c r="B9" s="364"/>
      <c r="C9" s="362"/>
      <c r="D9" s="229" t="s">
        <v>146</v>
      </c>
      <c r="E9" s="230" t="s">
        <v>1386</v>
      </c>
    </row>
    <row r="10" spans="2:5" s="159" customFormat="1" ht="20.100000000000001" customHeight="1">
      <c r="B10" s="364" t="s">
        <v>1388</v>
      </c>
      <c r="C10" s="362" t="s">
        <v>1389</v>
      </c>
      <c r="D10" s="229" t="s">
        <v>145</v>
      </c>
      <c r="E10" s="230" t="s">
        <v>1392</v>
      </c>
    </row>
    <row r="11" spans="2:5" s="159" customFormat="1" ht="20.100000000000001" customHeight="1">
      <c r="B11" s="364"/>
      <c r="C11" s="362"/>
      <c r="D11" s="229" t="s">
        <v>190</v>
      </c>
      <c r="E11" s="230" t="s">
        <v>1390</v>
      </c>
    </row>
    <row r="12" spans="2:5" s="159" customFormat="1" ht="20.100000000000001" customHeight="1">
      <c r="B12" s="365"/>
      <c r="C12" s="362"/>
      <c r="D12" s="229" t="s">
        <v>146</v>
      </c>
      <c r="E12" s="230" t="s">
        <v>1391</v>
      </c>
    </row>
    <row r="13" spans="2:5" s="159" customFormat="1" ht="20.100000000000001" customHeight="1">
      <c r="B13" s="362" t="s">
        <v>934</v>
      </c>
      <c r="C13" s="362" t="s">
        <v>1188</v>
      </c>
      <c r="D13" s="229" t="s">
        <v>145</v>
      </c>
      <c r="E13" s="230" t="s">
        <v>1242</v>
      </c>
    </row>
    <row r="14" spans="2:5" s="159" customFormat="1" ht="20.100000000000001" customHeight="1">
      <c r="B14" s="362"/>
      <c r="C14" s="362"/>
      <c r="D14" s="229" t="s">
        <v>190</v>
      </c>
      <c r="E14" s="230" t="s">
        <v>1243</v>
      </c>
    </row>
    <row r="15" spans="2:5" s="159" customFormat="1" ht="20.100000000000001" customHeight="1">
      <c r="B15" s="362"/>
      <c r="C15" s="362"/>
      <c r="D15" s="229" t="s">
        <v>146</v>
      </c>
      <c r="E15" s="230" t="s">
        <v>1244</v>
      </c>
    </row>
    <row r="16" spans="2:5" s="159" customFormat="1" ht="20.100000000000001" hidden="1" customHeight="1">
      <c r="B16" s="362" t="s">
        <v>952</v>
      </c>
      <c r="C16" s="362" t="s">
        <v>953</v>
      </c>
      <c r="D16" s="229" t="s">
        <v>145</v>
      </c>
      <c r="E16" s="230"/>
    </row>
    <row r="17" spans="2:5" s="159" customFormat="1" ht="20.100000000000001" hidden="1" customHeight="1">
      <c r="B17" s="362"/>
      <c r="C17" s="362"/>
      <c r="D17" s="229" t="s">
        <v>190</v>
      </c>
      <c r="E17" s="230"/>
    </row>
    <row r="18" spans="2:5" s="159" customFormat="1" ht="20.100000000000001" hidden="1" customHeight="1">
      <c r="B18" s="362"/>
      <c r="C18" s="362"/>
      <c r="D18" s="229" t="s">
        <v>146</v>
      </c>
      <c r="E18" s="230"/>
    </row>
    <row r="19" spans="2:5" s="159" customFormat="1" ht="20.100000000000001" customHeight="1">
      <c r="B19" s="362" t="s">
        <v>936</v>
      </c>
      <c r="C19" s="362" t="s">
        <v>953</v>
      </c>
      <c r="D19" s="229" t="s">
        <v>145</v>
      </c>
      <c r="E19" s="230" t="s">
        <v>1245</v>
      </c>
    </row>
    <row r="20" spans="2:5" s="159" customFormat="1" ht="20.100000000000001" customHeight="1">
      <c r="B20" s="362"/>
      <c r="C20" s="362"/>
      <c r="D20" s="229" t="s">
        <v>190</v>
      </c>
      <c r="E20" s="230" t="s">
        <v>1252</v>
      </c>
    </row>
    <row r="21" spans="2:5" s="159" customFormat="1" ht="20.100000000000001" customHeight="1">
      <c r="B21" s="362"/>
      <c r="C21" s="362"/>
      <c r="D21" s="229" t="s">
        <v>146</v>
      </c>
      <c r="E21" s="230" t="s">
        <v>1253</v>
      </c>
    </row>
    <row r="22" spans="2:5" s="159" customFormat="1" ht="20.100000000000001" hidden="1" customHeight="1">
      <c r="B22" s="362" t="s">
        <v>932</v>
      </c>
      <c r="C22" s="362" t="s">
        <v>933</v>
      </c>
      <c r="D22" s="229" t="s">
        <v>145</v>
      </c>
      <c r="E22" s="230"/>
    </row>
    <row r="23" spans="2:5" s="159" customFormat="1" ht="20.100000000000001" hidden="1" customHeight="1">
      <c r="B23" s="362"/>
      <c r="C23" s="362"/>
      <c r="D23" s="229" t="s">
        <v>190</v>
      </c>
      <c r="E23" s="230"/>
    </row>
    <row r="24" spans="2:5" s="159" customFormat="1" ht="20.100000000000001" hidden="1" customHeight="1">
      <c r="B24" s="362"/>
      <c r="C24" s="362"/>
      <c r="D24" s="229" t="s">
        <v>146</v>
      </c>
      <c r="E24" s="230"/>
    </row>
    <row r="25" spans="2:5" s="159" customFormat="1" ht="20.100000000000001" customHeight="1">
      <c r="B25" s="362" t="s">
        <v>1187</v>
      </c>
      <c r="C25" s="362" t="s">
        <v>1189</v>
      </c>
      <c r="D25" s="229" t="s">
        <v>145</v>
      </c>
      <c r="E25" s="230" t="s">
        <v>1246</v>
      </c>
    </row>
    <row r="26" spans="2:5" s="159" customFormat="1" ht="20.100000000000001" customHeight="1">
      <c r="B26" s="362"/>
      <c r="C26" s="362"/>
      <c r="D26" s="229" t="s">
        <v>190</v>
      </c>
      <c r="E26" s="230" t="s">
        <v>1247</v>
      </c>
    </row>
    <row r="27" spans="2:5" s="159" customFormat="1" ht="20.100000000000001" customHeight="1">
      <c r="B27" s="362"/>
      <c r="C27" s="362"/>
      <c r="D27" s="229" t="s">
        <v>146</v>
      </c>
      <c r="E27" s="230" t="s">
        <v>1248</v>
      </c>
    </row>
    <row r="28" spans="2:5" ht="20.100000000000001" customHeight="1">
      <c r="B28" s="366" t="s">
        <v>872</v>
      </c>
      <c r="C28" s="366" t="s">
        <v>860</v>
      </c>
      <c r="D28" s="231" t="s">
        <v>145</v>
      </c>
      <c r="E28" s="232" t="s">
        <v>931</v>
      </c>
    </row>
    <row r="29" spans="2:5" ht="20.100000000000001" customHeight="1">
      <c r="B29" s="362"/>
      <c r="C29" s="362"/>
      <c r="D29" s="229" t="s">
        <v>190</v>
      </c>
      <c r="E29" s="230" t="s">
        <v>930</v>
      </c>
    </row>
    <row r="30" spans="2:5" ht="20.100000000000001" customHeight="1">
      <c r="B30" s="362"/>
      <c r="C30" s="362"/>
      <c r="D30" s="229" t="s">
        <v>146</v>
      </c>
      <c r="E30" s="230" t="s">
        <v>929</v>
      </c>
    </row>
    <row r="31" spans="2:5" ht="20.100000000000001" customHeight="1">
      <c r="B31" s="362" t="s">
        <v>873</v>
      </c>
      <c r="C31" s="362" t="s">
        <v>861</v>
      </c>
      <c r="D31" s="229" t="s">
        <v>145</v>
      </c>
      <c r="E31" s="230" t="s">
        <v>928</v>
      </c>
    </row>
    <row r="32" spans="2:5" ht="20.100000000000001" customHeight="1">
      <c r="B32" s="362"/>
      <c r="C32" s="362"/>
      <c r="D32" s="229" t="s">
        <v>190</v>
      </c>
      <c r="E32" s="230" t="s">
        <v>927</v>
      </c>
    </row>
    <row r="33" spans="2:5" ht="20.100000000000001" customHeight="1">
      <c r="B33" s="362"/>
      <c r="C33" s="362"/>
      <c r="D33" s="229" t="s">
        <v>146</v>
      </c>
      <c r="E33" s="230" t="s">
        <v>926</v>
      </c>
    </row>
    <row r="34" spans="2:5" ht="20.100000000000001" customHeight="1">
      <c r="B34" s="362" t="s">
        <v>874</v>
      </c>
      <c r="C34" s="362" t="s">
        <v>862</v>
      </c>
      <c r="D34" s="229" t="s">
        <v>145</v>
      </c>
      <c r="E34" s="230" t="s">
        <v>925</v>
      </c>
    </row>
    <row r="35" spans="2:5" ht="20.100000000000001" customHeight="1">
      <c r="B35" s="362"/>
      <c r="C35" s="362"/>
      <c r="D35" s="229" t="s">
        <v>190</v>
      </c>
      <c r="E35" s="230" t="s">
        <v>924</v>
      </c>
    </row>
    <row r="36" spans="2:5" ht="20.100000000000001" customHeight="1">
      <c r="B36" s="362"/>
      <c r="C36" s="362"/>
      <c r="D36" s="229" t="s">
        <v>146</v>
      </c>
      <c r="E36" s="230" t="s">
        <v>923</v>
      </c>
    </row>
    <row r="37" spans="2:5" ht="20.100000000000001" customHeight="1">
      <c r="B37" s="362" t="s">
        <v>875</v>
      </c>
      <c r="C37" s="362" t="s">
        <v>863</v>
      </c>
      <c r="D37" s="229" t="s">
        <v>145</v>
      </c>
      <c r="E37" s="230" t="s">
        <v>922</v>
      </c>
    </row>
    <row r="38" spans="2:5" ht="20.100000000000001" customHeight="1">
      <c r="B38" s="362"/>
      <c r="C38" s="362"/>
      <c r="D38" s="229" t="s">
        <v>190</v>
      </c>
      <c r="E38" s="230" t="s">
        <v>921</v>
      </c>
    </row>
    <row r="39" spans="2:5" ht="20.100000000000001" customHeight="1">
      <c r="B39" s="362"/>
      <c r="C39" s="362"/>
      <c r="D39" s="229" t="s">
        <v>146</v>
      </c>
      <c r="E39" s="230" t="s">
        <v>920</v>
      </c>
    </row>
    <row r="40" spans="2:5" ht="20.100000000000001" customHeight="1">
      <c r="B40" s="362" t="s">
        <v>876</v>
      </c>
      <c r="C40" s="362" t="s">
        <v>864</v>
      </c>
      <c r="D40" s="229" t="s">
        <v>145</v>
      </c>
      <c r="E40" s="230" t="s">
        <v>919</v>
      </c>
    </row>
    <row r="41" spans="2:5" ht="20.100000000000001" customHeight="1">
      <c r="B41" s="362"/>
      <c r="C41" s="362"/>
      <c r="D41" s="229" t="s">
        <v>190</v>
      </c>
      <c r="E41" s="230" t="s">
        <v>918</v>
      </c>
    </row>
    <row r="42" spans="2:5" ht="20.100000000000001" customHeight="1">
      <c r="B42" s="362"/>
      <c r="C42" s="362"/>
      <c r="D42" s="229" t="s">
        <v>146</v>
      </c>
      <c r="E42" s="230" t="s">
        <v>917</v>
      </c>
    </row>
    <row r="43" spans="2:5" ht="20.100000000000001" customHeight="1">
      <c r="B43" s="362" t="s">
        <v>877</v>
      </c>
      <c r="C43" s="362" t="s">
        <v>865</v>
      </c>
      <c r="D43" s="229" t="s">
        <v>145</v>
      </c>
      <c r="E43" s="230" t="s">
        <v>916</v>
      </c>
    </row>
    <row r="44" spans="2:5" ht="20.100000000000001" customHeight="1">
      <c r="B44" s="362"/>
      <c r="C44" s="362"/>
      <c r="D44" s="229" t="s">
        <v>190</v>
      </c>
      <c r="E44" s="230" t="s">
        <v>915</v>
      </c>
    </row>
    <row r="45" spans="2:5" ht="20.100000000000001" customHeight="1">
      <c r="B45" s="362"/>
      <c r="C45" s="362"/>
      <c r="D45" s="229" t="s">
        <v>146</v>
      </c>
      <c r="E45" s="230" t="s">
        <v>914</v>
      </c>
    </row>
    <row r="46" spans="2:5" ht="20.100000000000001" customHeight="1">
      <c r="B46" s="362" t="s">
        <v>878</v>
      </c>
      <c r="C46" s="362" t="s">
        <v>866</v>
      </c>
      <c r="D46" s="229" t="s">
        <v>145</v>
      </c>
      <c r="E46" s="230" t="s">
        <v>913</v>
      </c>
    </row>
    <row r="47" spans="2:5" ht="20.100000000000001" customHeight="1">
      <c r="B47" s="362"/>
      <c r="C47" s="362"/>
      <c r="D47" s="229" t="s">
        <v>190</v>
      </c>
      <c r="E47" s="230" t="s">
        <v>912</v>
      </c>
    </row>
    <row r="48" spans="2:5" ht="20.100000000000001" customHeight="1">
      <c r="B48" s="362"/>
      <c r="C48" s="362"/>
      <c r="D48" s="229" t="s">
        <v>146</v>
      </c>
      <c r="E48" s="230" t="s">
        <v>911</v>
      </c>
    </row>
    <row r="49" spans="2:5" ht="20.100000000000001" customHeight="1">
      <c r="B49" s="362" t="s">
        <v>879</v>
      </c>
      <c r="C49" s="362" t="s">
        <v>867</v>
      </c>
      <c r="D49" s="229" t="s">
        <v>145</v>
      </c>
      <c r="E49" s="230" t="s">
        <v>910</v>
      </c>
    </row>
    <row r="50" spans="2:5" ht="20.100000000000001" customHeight="1">
      <c r="B50" s="362"/>
      <c r="C50" s="362"/>
      <c r="D50" s="229" t="s">
        <v>190</v>
      </c>
      <c r="E50" s="230" t="s">
        <v>909</v>
      </c>
    </row>
    <row r="51" spans="2:5" ht="20.100000000000001" customHeight="1">
      <c r="B51" s="362"/>
      <c r="C51" s="362"/>
      <c r="D51" s="229" t="s">
        <v>146</v>
      </c>
      <c r="E51" s="230" t="s">
        <v>908</v>
      </c>
    </row>
    <row r="52" spans="2:5" ht="20.100000000000001" customHeight="1">
      <c r="B52" s="362" t="s">
        <v>868</v>
      </c>
      <c r="C52" s="362" t="s">
        <v>880</v>
      </c>
      <c r="D52" s="229" t="s">
        <v>145</v>
      </c>
      <c r="E52" s="230" t="s">
        <v>907</v>
      </c>
    </row>
    <row r="53" spans="2:5" ht="20.100000000000001" customHeight="1">
      <c r="B53" s="362"/>
      <c r="C53" s="362"/>
      <c r="D53" s="229" t="s">
        <v>190</v>
      </c>
      <c r="E53" s="230" t="s">
        <v>906</v>
      </c>
    </row>
    <row r="54" spans="2:5" ht="20.100000000000001" customHeight="1">
      <c r="B54" s="362"/>
      <c r="C54" s="362"/>
      <c r="D54" s="229" t="s">
        <v>146</v>
      </c>
      <c r="E54" s="230" t="s">
        <v>905</v>
      </c>
    </row>
    <row r="55" spans="2:5" ht="20.100000000000001" customHeight="1">
      <c r="B55" s="362" t="s">
        <v>869</v>
      </c>
      <c r="C55" s="362" t="s">
        <v>881</v>
      </c>
      <c r="D55" s="229" t="s">
        <v>145</v>
      </c>
      <c r="E55" s="230" t="s">
        <v>904</v>
      </c>
    </row>
    <row r="56" spans="2:5" ht="20.100000000000001" customHeight="1">
      <c r="B56" s="362"/>
      <c r="C56" s="362"/>
      <c r="D56" s="229" t="s">
        <v>190</v>
      </c>
      <c r="E56" s="230" t="s">
        <v>903</v>
      </c>
    </row>
    <row r="57" spans="2:5" ht="20.100000000000001" customHeight="1">
      <c r="B57" s="362"/>
      <c r="C57" s="362"/>
      <c r="D57" s="229" t="s">
        <v>146</v>
      </c>
      <c r="E57" s="230" t="s">
        <v>902</v>
      </c>
    </row>
    <row r="58" spans="2:5" ht="20.100000000000001" customHeight="1">
      <c r="B58" s="362" t="s">
        <v>870</v>
      </c>
      <c r="C58" s="362" t="s">
        <v>882</v>
      </c>
      <c r="D58" s="229" t="s">
        <v>145</v>
      </c>
      <c r="E58" s="230" t="s">
        <v>901</v>
      </c>
    </row>
    <row r="59" spans="2:5" ht="20.100000000000001" customHeight="1">
      <c r="B59" s="362"/>
      <c r="C59" s="362"/>
      <c r="D59" s="229" t="s">
        <v>190</v>
      </c>
      <c r="E59" s="230" t="s">
        <v>900</v>
      </c>
    </row>
    <row r="60" spans="2:5" ht="20.100000000000001" customHeight="1">
      <c r="B60" s="362"/>
      <c r="C60" s="362"/>
      <c r="D60" s="229" t="s">
        <v>146</v>
      </c>
      <c r="E60" s="230" t="s">
        <v>899</v>
      </c>
    </row>
    <row r="61" spans="2:5" ht="20.100000000000001" customHeight="1">
      <c r="B61" s="362" t="s">
        <v>871</v>
      </c>
      <c r="C61" s="362" t="s">
        <v>883</v>
      </c>
      <c r="D61" s="229" t="s">
        <v>145</v>
      </c>
      <c r="E61" s="230" t="s">
        <v>898</v>
      </c>
    </row>
    <row r="62" spans="2:5" ht="20.100000000000001" customHeight="1">
      <c r="B62" s="362"/>
      <c r="C62" s="362"/>
      <c r="D62" s="229" t="s">
        <v>190</v>
      </c>
      <c r="E62" s="230" t="s">
        <v>897</v>
      </c>
    </row>
    <row r="63" spans="2:5" ht="20.100000000000001" customHeight="1">
      <c r="B63" s="362"/>
      <c r="C63" s="362"/>
      <c r="D63" s="229" t="s">
        <v>146</v>
      </c>
      <c r="E63" s="230" t="s">
        <v>896</v>
      </c>
    </row>
    <row r="64" spans="2:5" ht="20.100000000000001" hidden="1" customHeight="1">
      <c r="B64" s="362" t="s">
        <v>340</v>
      </c>
      <c r="C64" s="362" t="s">
        <v>341</v>
      </c>
      <c r="D64" s="229" t="s">
        <v>145</v>
      </c>
      <c r="E64" s="230" t="s">
        <v>895</v>
      </c>
    </row>
    <row r="65" spans="2:5" ht="20.100000000000001" hidden="1" customHeight="1">
      <c r="B65" s="362"/>
      <c r="C65" s="362"/>
      <c r="D65" s="229" t="s">
        <v>190</v>
      </c>
      <c r="E65" s="230" t="s">
        <v>894</v>
      </c>
    </row>
    <row r="66" spans="2:5" ht="20.100000000000001" hidden="1" customHeight="1">
      <c r="B66" s="362"/>
      <c r="C66" s="362"/>
      <c r="D66" s="229" t="s">
        <v>146</v>
      </c>
      <c r="E66" s="230" t="s">
        <v>893</v>
      </c>
    </row>
    <row r="67" spans="2:5" ht="20.100000000000001" hidden="1" customHeight="1">
      <c r="B67" s="362" t="s">
        <v>342</v>
      </c>
      <c r="C67" s="362" t="s">
        <v>343</v>
      </c>
      <c r="D67" s="229" t="s">
        <v>145</v>
      </c>
      <c r="E67" s="230" t="s">
        <v>892</v>
      </c>
    </row>
    <row r="68" spans="2:5" ht="20.100000000000001" hidden="1" customHeight="1">
      <c r="B68" s="362"/>
      <c r="C68" s="362"/>
      <c r="D68" s="229" t="s">
        <v>190</v>
      </c>
      <c r="E68" s="230" t="s">
        <v>891</v>
      </c>
    </row>
    <row r="69" spans="2:5" ht="20.100000000000001" hidden="1" customHeight="1">
      <c r="B69" s="362"/>
      <c r="C69" s="362"/>
      <c r="D69" s="229" t="s">
        <v>146</v>
      </c>
      <c r="E69" s="230" t="s">
        <v>890</v>
      </c>
    </row>
    <row r="70" spans="2:5" ht="20.100000000000001" hidden="1" customHeight="1">
      <c r="B70" s="362" t="s">
        <v>344</v>
      </c>
      <c r="C70" s="362" t="s">
        <v>345</v>
      </c>
      <c r="D70" s="229" t="s">
        <v>145</v>
      </c>
      <c r="E70" s="230" t="s">
        <v>889</v>
      </c>
    </row>
    <row r="71" spans="2:5" ht="20.100000000000001" hidden="1" customHeight="1">
      <c r="B71" s="362"/>
      <c r="C71" s="362"/>
      <c r="D71" s="229" t="s">
        <v>190</v>
      </c>
      <c r="E71" s="230" t="s">
        <v>888</v>
      </c>
    </row>
    <row r="72" spans="2:5" ht="20.100000000000001" hidden="1" customHeight="1">
      <c r="B72" s="362"/>
      <c r="C72" s="362"/>
      <c r="D72" s="229" t="s">
        <v>146</v>
      </c>
      <c r="E72" s="230" t="s">
        <v>887</v>
      </c>
    </row>
    <row r="73" spans="2:5" ht="20.100000000000001" customHeight="1">
      <c r="B73" s="362" t="s">
        <v>735</v>
      </c>
      <c r="C73" s="362" t="s">
        <v>736</v>
      </c>
      <c r="D73" s="229" t="s">
        <v>145</v>
      </c>
      <c r="E73" s="230" t="s">
        <v>886</v>
      </c>
    </row>
    <row r="74" spans="2:5" ht="20.100000000000001" customHeight="1">
      <c r="B74" s="362"/>
      <c r="C74" s="362"/>
      <c r="D74" s="229" t="s">
        <v>190</v>
      </c>
      <c r="E74" s="230" t="s">
        <v>885</v>
      </c>
    </row>
    <row r="75" spans="2:5" ht="20.100000000000001" customHeight="1">
      <c r="B75" s="362"/>
      <c r="C75" s="362"/>
      <c r="D75" s="229" t="s">
        <v>146</v>
      </c>
      <c r="E75" s="230" t="s">
        <v>884</v>
      </c>
    </row>
    <row r="76" spans="2:5" ht="20.100000000000001" customHeight="1">
      <c r="B76" s="362" t="s">
        <v>737</v>
      </c>
      <c r="C76" s="362" t="s">
        <v>738</v>
      </c>
      <c r="D76" s="229" t="s">
        <v>145</v>
      </c>
      <c r="E76" s="230" t="s">
        <v>958</v>
      </c>
    </row>
    <row r="77" spans="2:5" ht="20.100000000000001" customHeight="1">
      <c r="B77" s="362"/>
      <c r="C77" s="362"/>
      <c r="D77" s="229" t="s">
        <v>190</v>
      </c>
      <c r="E77" s="230" t="s">
        <v>959</v>
      </c>
    </row>
    <row r="78" spans="2:5" ht="20.100000000000001" customHeight="1">
      <c r="B78" s="362"/>
      <c r="C78" s="362"/>
      <c r="D78" s="229" t="s">
        <v>146</v>
      </c>
      <c r="E78" s="230" t="s">
        <v>960</v>
      </c>
    </row>
    <row r="79" spans="2:5" ht="20.100000000000001" customHeight="1">
      <c r="B79" s="362" t="s">
        <v>739</v>
      </c>
      <c r="C79" s="362" t="s">
        <v>740</v>
      </c>
      <c r="D79" s="229" t="s">
        <v>145</v>
      </c>
      <c r="E79" s="230" t="s">
        <v>961</v>
      </c>
    </row>
    <row r="80" spans="2:5" ht="20.100000000000001" customHeight="1">
      <c r="B80" s="362"/>
      <c r="C80" s="362"/>
      <c r="D80" s="229" t="s">
        <v>190</v>
      </c>
      <c r="E80" s="230" t="s">
        <v>962</v>
      </c>
    </row>
    <row r="81" spans="2:5" ht="20.100000000000001" customHeight="1">
      <c r="B81" s="362"/>
      <c r="C81" s="362"/>
      <c r="D81" s="229" t="s">
        <v>146</v>
      </c>
      <c r="E81" s="230" t="s">
        <v>963</v>
      </c>
    </row>
    <row r="82" spans="2:5" ht="20.100000000000001" customHeight="1">
      <c r="B82" s="362" t="s">
        <v>956</v>
      </c>
      <c r="C82" s="362" t="s">
        <v>957</v>
      </c>
      <c r="D82" s="229" t="s">
        <v>145</v>
      </c>
      <c r="E82" s="230" t="s">
        <v>964</v>
      </c>
    </row>
    <row r="83" spans="2:5" ht="20.100000000000001" customHeight="1">
      <c r="B83" s="362"/>
      <c r="C83" s="362"/>
      <c r="D83" s="229" t="s">
        <v>190</v>
      </c>
      <c r="E83" s="230" t="s">
        <v>965</v>
      </c>
    </row>
    <row r="84" spans="2:5" ht="20.100000000000001" customHeight="1">
      <c r="B84" s="362"/>
      <c r="C84" s="362"/>
      <c r="D84" s="229" t="s">
        <v>146</v>
      </c>
      <c r="E84" s="230" t="s">
        <v>966</v>
      </c>
    </row>
    <row r="85" spans="2:5" ht="20.100000000000001" customHeight="1">
      <c r="B85" s="362" t="s">
        <v>954</v>
      </c>
      <c r="C85" s="362" t="s">
        <v>955</v>
      </c>
      <c r="D85" s="229" t="s">
        <v>145</v>
      </c>
      <c r="E85" s="230" t="s">
        <v>967</v>
      </c>
    </row>
    <row r="86" spans="2:5" ht="20.100000000000001" customHeight="1">
      <c r="B86" s="362"/>
      <c r="C86" s="362"/>
      <c r="D86" s="229" t="s">
        <v>190</v>
      </c>
      <c r="E86" s="230" t="s">
        <v>968</v>
      </c>
    </row>
    <row r="87" spans="2:5" ht="20.100000000000001" customHeight="1">
      <c r="B87" s="362"/>
      <c r="C87" s="362"/>
      <c r="D87" s="229" t="s">
        <v>146</v>
      </c>
      <c r="E87" s="230" t="s">
        <v>969</v>
      </c>
    </row>
    <row r="88" spans="2:5" ht="20.100000000000001" customHeight="1">
      <c r="B88" s="362" t="s">
        <v>745</v>
      </c>
      <c r="C88" s="362" t="s">
        <v>746</v>
      </c>
      <c r="D88" s="229" t="s">
        <v>145</v>
      </c>
      <c r="E88" s="230" t="s">
        <v>970</v>
      </c>
    </row>
    <row r="89" spans="2:5" ht="20.100000000000001" customHeight="1">
      <c r="B89" s="362"/>
      <c r="C89" s="362"/>
      <c r="D89" s="229" t="s">
        <v>190</v>
      </c>
      <c r="E89" s="230" t="s">
        <v>971</v>
      </c>
    </row>
    <row r="90" spans="2:5" ht="20.100000000000001" customHeight="1">
      <c r="B90" s="362"/>
      <c r="C90" s="362"/>
      <c r="D90" s="229" t="s">
        <v>146</v>
      </c>
      <c r="E90" s="230" t="s">
        <v>972</v>
      </c>
    </row>
    <row r="91" spans="2:5" ht="20.100000000000001" customHeight="1">
      <c r="B91" s="362" t="s">
        <v>747</v>
      </c>
      <c r="C91" s="362" t="s">
        <v>748</v>
      </c>
      <c r="D91" s="229" t="s">
        <v>145</v>
      </c>
      <c r="E91" s="230" t="s">
        <v>973</v>
      </c>
    </row>
    <row r="92" spans="2:5" ht="20.100000000000001" customHeight="1">
      <c r="B92" s="362"/>
      <c r="C92" s="362"/>
      <c r="D92" s="229" t="s">
        <v>190</v>
      </c>
      <c r="E92" s="230" t="s">
        <v>974</v>
      </c>
    </row>
    <row r="93" spans="2:5" ht="20.100000000000001" customHeight="1">
      <c r="B93" s="362"/>
      <c r="C93" s="362"/>
      <c r="D93" s="229" t="s">
        <v>146</v>
      </c>
      <c r="E93" s="230" t="s">
        <v>975</v>
      </c>
    </row>
    <row r="94" spans="2:5" ht="20.100000000000001" customHeight="1">
      <c r="B94" s="362" t="s">
        <v>749</v>
      </c>
      <c r="C94" s="362" t="s">
        <v>750</v>
      </c>
      <c r="D94" s="229" t="s">
        <v>145</v>
      </c>
      <c r="E94" s="230" t="s">
        <v>976</v>
      </c>
    </row>
    <row r="95" spans="2:5" ht="20.100000000000001" customHeight="1">
      <c r="B95" s="362"/>
      <c r="C95" s="362"/>
      <c r="D95" s="229" t="s">
        <v>190</v>
      </c>
      <c r="E95" s="230" t="s">
        <v>977</v>
      </c>
    </row>
    <row r="96" spans="2:5" ht="20.100000000000001" customHeight="1">
      <c r="B96" s="362"/>
      <c r="C96" s="362"/>
      <c r="D96" s="229" t="s">
        <v>146</v>
      </c>
      <c r="E96" s="230" t="s">
        <v>978</v>
      </c>
    </row>
    <row r="97" spans="2:5" ht="20.100000000000001" customHeight="1">
      <c r="B97" s="362" t="s">
        <v>751</v>
      </c>
      <c r="C97" s="362" t="s">
        <v>752</v>
      </c>
      <c r="D97" s="229" t="s">
        <v>145</v>
      </c>
      <c r="E97" s="230" t="s">
        <v>979</v>
      </c>
    </row>
    <row r="98" spans="2:5" ht="20.100000000000001" customHeight="1">
      <c r="B98" s="362"/>
      <c r="C98" s="362"/>
      <c r="D98" s="229" t="s">
        <v>190</v>
      </c>
      <c r="E98" s="230" t="s">
        <v>980</v>
      </c>
    </row>
    <row r="99" spans="2:5" ht="20.100000000000001" customHeight="1">
      <c r="B99" s="362"/>
      <c r="C99" s="362"/>
      <c r="D99" s="229" t="s">
        <v>146</v>
      </c>
      <c r="E99" s="230" t="s">
        <v>981</v>
      </c>
    </row>
    <row r="100" spans="2:5" ht="20.100000000000001" customHeight="1">
      <c r="B100" s="362" t="s">
        <v>757</v>
      </c>
      <c r="C100" s="362" t="s">
        <v>758</v>
      </c>
      <c r="D100" s="229" t="s">
        <v>145</v>
      </c>
      <c r="E100" s="230" t="s">
        <v>982</v>
      </c>
    </row>
    <row r="101" spans="2:5" ht="20.100000000000001" customHeight="1">
      <c r="B101" s="362"/>
      <c r="C101" s="362"/>
      <c r="D101" s="229" t="s">
        <v>190</v>
      </c>
      <c r="E101" s="230" t="s">
        <v>983</v>
      </c>
    </row>
    <row r="102" spans="2:5" ht="20.100000000000001" customHeight="1">
      <c r="B102" s="362"/>
      <c r="C102" s="362"/>
      <c r="D102" s="229" t="s">
        <v>146</v>
      </c>
      <c r="E102" s="230" t="s">
        <v>984</v>
      </c>
    </row>
    <row r="103" spans="2:5" ht="20.100000000000001" customHeight="1">
      <c r="B103" s="362" t="s">
        <v>759</v>
      </c>
      <c r="C103" s="362" t="s">
        <v>760</v>
      </c>
      <c r="D103" s="229" t="s">
        <v>145</v>
      </c>
      <c r="E103" s="230" t="s">
        <v>985</v>
      </c>
    </row>
    <row r="104" spans="2:5" ht="20.100000000000001" customHeight="1">
      <c r="B104" s="362"/>
      <c r="C104" s="362"/>
      <c r="D104" s="229" t="s">
        <v>190</v>
      </c>
      <c r="E104" s="230" t="s">
        <v>986</v>
      </c>
    </row>
    <row r="105" spans="2:5" ht="20.100000000000001" customHeight="1">
      <c r="B105" s="362"/>
      <c r="C105" s="362"/>
      <c r="D105" s="229" t="s">
        <v>146</v>
      </c>
      <c r="E105" s="230" t="s">
        <v>987</v>
      </c>
    </row>
  </sheetData>
  <mergeCells count="68">
    <mergeCell ref="B61:B63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C61:C63"/>
    <mergeCell ref="C28:C30"/>
    <mergeCell ref="C31:C33"/>
    <mergeCell ref="C34:C36"/>
    <mergeCell ref="C37:C39"/>
    <mergeCell ref="C40:C42"/>
    <mergeCell ref="C43:C45"/>
    <mergeCell ref="C46:C48"/>
    <mergeCell ref="C49:C51"/>
    <mergeCell ref="C52:C54"/>
    <mergeCell ref="C55:C57"/>
    <mergeCell ref="C58:C60"/>
    <mergeCell ref="C70:C72"/>
    <mergeCell ref="B70:B72"/>
    <mergeCell ref="B67:B69"/>
    <mergeCell ref="C67:C69"/>
    <mergeCell ref="C64:C66"/>
    <mergeCell ref="B64:B66"/>
    <mergeCell ref="B103:B105"/>
    <mergeCell ref="C103:C105"/>
    <mergeCell ref="B100:B102"/>
    <mergeCell ref="C100:C102"/>
    <mergeCell ref="B97:B99"/>
    <mergeCell ref="C97:C99"/>
    <mergeCell ref="B94:B96"/>
    <mergeCell ref="C94:C96"/>
    <mergeCell ref="B91:B93"/>
    <mergeCell ref="C91:C93"/>
    <mergeCell ref="B88:B90"/>
    <mergeCell ref="C88:C90"/>
    <mergeCell ref="B76:B78"/>
    <mergeCell ref="C76:C78"/>
    <mergeCell ref="B73:B75"/>
    <mergeCell ref="C73:C75"/>
    <mergeCell ref="B85:B87"/>
    <mergeCell ref="C85:C87"/>
    <mergeCell ref="B79:B81"/>
    <mergeCell ref="C79:C81"/>
    <mergeCell ref="B82:B84"/>
    <mergeCell ref="C82:C84"/>
    <mergeCell ref="B4:B6"/>
    <mergeCell ref="C4:C6"/>
    <mergeCell ref="B22:B24"/>
    <mergeCell ref="C22:C24"/>
    <mergeCell ref="B25:B27"/>
    <mergeCell ref="C25:C27"/>
    <mergeCell ref="B13:B15"/>
    <mergeCell ref="C13:C15"/>
    <mergeCell ref="B19:B21"/>
    <mergeCell ref="C19:C21"/>
    <mergeCell ref="B16:B18"/>
    <mergeCell ref="C16:C18"/>
    <mergeCell ref="B7:B9"/>
    <mergeCell ref="C7:C9"/>
    <mergeCell ref="B10:B12"/>
    <mergeCell ref="C10:C12"/>
  </mergeCells>
  <phoneticPr fontId="2" type="noConversion"/>
  <hyperlinks>
    <hyperlink ref="E75" r:id="rId1" xr:uid="{00000000-0004-0000-0800-000000000000}"/>
    <hyperlink ref="E74" r:id="rId2" xr:uid="{00000000-0004-0000-0800-000001000000}"/>
    <hyperlink ref="E73" r:id="rId3" xr:uid="{00000000-0004-0000-0800-000002000000}"/>
    <hyperlink ref="E72" r:id="rId4" xr:uid="{00000000-0004-0000-0800-000003000000}"/>
    <hyperlink ref="E71" r:id="rId5" xr:uid="{00000000-0004-0000-0800-000004000000}"/>
    <hyperlink ref="E70" r:id="rId6" xr:uid="{00000000-0004-0000-0800-000005000000}"/>
    <hyperlink ref="E69" r:id="rId7" xr:uid="{00000000-0004-0000-0800-000006000000}"/>
    <hyperlink ref="E68" r:id="rId8" xr:uid="{00000000-0004-0000-0800-000007000000}"/>
    <hyperlink ref="E67" r:id="rId9" xr:uid="{00000000-0004-0000-0800-000008000000}"/>
    <hyperlink ref="E66" r:id="rId10" xr:uid="{00000000-0004-0000-0800-000009000000}"/>
    <hyperlink ref="E65" r:id="rId11" xr:uid="{00000000-0004-0000-0800-00000A000000}"/>
    <hyperlink ref="E64" r:id="rId12" xr:uid="{00000000-0004-0000-0800-00000B000000}"/>
    <hyperlink ref="E63" r:id="rId13" xr:uid="{00000000-0004-0000-0800-00000C000000}"/>
    <hyperlink ref="E62" r:id="rId14" xr:uid="{00000000-0004-0000-0800-00000D000000}"/>
    <hyperlink ref="E61" r:id="rId15" xr:uid="{00000000-0004-0000-0800-00000E000000}"/>
    <hyperlink ref="E60" r:id="rId16" xr:uid="{00000000-0004-0000-0800-00000F000000}"/>
    <hyperlink ref="E59" r:id="rId17" xr:uid="{00000000-0004-0000-0800-000010000000}"/>
    <hyperlink ref="E58" r:id="rId18" xr:uid="{00000000-0004-0000-0800-000011000000}"/>
    <hyperlink ref="E57" r:id="rId19" xr:uid="{00000000-0004-0000-0800-000012000000}"/>
    <hyperlink ref="E56" r:id="rId20" xr:uid="{00000000-0004-0000-0800-000013000000}"/>
    <hyperlink ref="E55" r:id="rId21" xr:uid="{00000000-0004-0000-0800-000014000000}"/>
    <hyperlink ref="E54" r:id="rId22" xr:uid="{00000000-0004-0000-0800-000015000000}"/>
    <hyperlink ref="E53" r:id="rId23" xr:uid="{00000000-0004-0000-0800-000016000000}"/>
    <hyperlink ref="E52" r:id="rId24" xr:uid="{00000000-0004-0000-0800-000017000000}"/>
    <hyperlink ref="E51" r:id="rId25" xr:uid="{00000000-0004-0000-0800-000018000000}"/>
    <hyperlink ref="E50" r:id="rId26" xr:uid="{00000000-0004-0000-0800-000019000000}"/>
    <hyperlink ref="E49" r:id="rId27" xr:uid="{00000000-0004-0000-0800-00001A000000}"/>
    <hyperlink ref="E48" r:id="rId28" xr:uid="{00000000-0004-0000-0800-00001B000000}"/>
    <hyperlink ref="E47" r:id="rId29" xr:uid="{00000000-0004-0000-0800-00001C000000}"/>
    <hyperlink ref="E46" r:id="rId30" xr:uid="{00000000-0004-0000-0800-00001D000000}"/>
    <hyperlink ref="E45" r:id="rId31" xr:uid="{00000000-0004-0000-0800-00001E000000}"/>
    <hyperlink ref="E44" r:id="rId32" xr:uid="{00000000-0004-0000-0800-00001F000000}"/>
    <hyperlink ref="E43" r:id="rId33" xr:uid="{00000000-0004-0000-0800-000020000000}"/>
    <hyperlink ref="E42" r:id="rId34" xr:uid="{00000000-0004-0000-0800-000021000000}"/>
    <hyperlink ref="E41" r:id="rId35" xr:uid="{00000000-0004-0000-0800-000022000000}"/>
    <hyperlink ref="E40" r:id="rId36" xr:uid="{00000000-0004-0000-0800-000023000000}"/>
    <hyperlink ref="E39" r:id="rId37" xr:uid="{00000000-0004-0000-0800-000024000000}"/>
    <hyperlink ref="E38" r:id="rId38" xr:uid="{00000000-0004-0000-0800-000025000000}"/>
    <hyperlink ref="E37" r:id="rId39" xr:uid="{00000000-0004-0000-0800-000026000000}"/>
    <hyperlink ref="E36" r:id="rId40" xr:uid="{00000000-0004-0000-0800-000027000000}"/>
    <hyperlink ref="E35" r:id="rId41" xr:uid="{00000000-0004-0000-0800-000028000000}"/>
    <hyperlink ref="E34" r:id="rId42" xr:uid="{00000000-0004-0000-0800-000029000000}"/>
    <hyperlink ref="E33" r:id="rId43" xr:uid="{00000000-0004-0000-0800-00002A000000}"/>
    <hyperlink ref="E32" r:id="rId44" xr:uid="{00000000-0004-0000-0800-00002B000000}"/>
    <hyperlink ref="E31" r:id="rId45" xr:uid="{00000000-0004-0000-0800-00002C000000}"/>
    <hyperlink ref="E30" r:id="rId46" xr:uid="{00000000-0004-0000-0800-00002D000000}"/>
    <hyperlink ref="E29" r:id="rId47" xr:uid="{00000000-0004-0000-0800-00002E000000}"/>
    <hyperlink ref="E28" r:id="rId48" xr:uid="{00000000-0004-0000-0800-00002F000000}"/>
    <hyperlink ref="E76" r:id="rId49" xr:uid="{00000000-0004-0000-0800-000030000000}"/>
    <hyperlink ref="E77" r:id="rId50" xr:uid="{00000000-0004-0000-0800-000031000000}"/>
    <hyperlink ref="E78" r:id="rId51" xr:uid="{00000000-0004-0000-0800-000032000000}"/>
    <hyperlink ref="E79" r:id="rId52" xr:uid="{00000000-0004-0000-0800-000033000000}"/>
    <hyperlink ref="E80" r:id="rId53" xr:uid="{00000000-0004-0000-0800-000034000000}"/>
    <hyperlink ref="E81" r:id="rId54" xr:uid="{00000000-0004-0000-0800-000035000000}"/>
    <hyperlink ref="E82" r:id="rId55" xr:uid="{00000000-0004-0000-0800-000036000000}"/>
    <hyperlink ref="E83" r:id="rId56" xr:uid="{00000000-0004-0000-0800-000037000000}"/>
    <hyperlink ref="E84" r:id="rId57" xr:uid="{00000000-0004-0000-0800-000038000000}"/>
    <hyperlink ref="E85" r:id="rId58" xr:uid="{00000000-0004-0000-0800-000039000000}"/>
    <hyperlink ref="E86" r:id="rId59" xr:uid="{00000000-0004-0000-0800-00003A000000}"/>
    <hyperlink ref="E87" r:id="rId60" xr:uid="{00000000-0004-0000-0800-00003B000000}"/>
    <hyperlink ref="E88" r:id="rId61" xr:uid="{00000000-0004-0000-0800-00003C000000}"/>
    <hyperlink ref="E89" r:id="rId62" xr:uid="{00000000-0004-0000-0800-00003D000000}"/>
    <hyperlink ref="E90" r:id="rId63" xr:uid="{00000000-0004-0000-0800-00003E000000}"/>
    <hyperlink ref="E91" r:id="rId64" xr:uid="{00000000-0004-0000-0800-00003F000000}"/>
    <hyperlink ref="E92" r:id="rId65" xr:uid="{00000000-0004-0000-0800-000040000000}"/>
    <hyperlink ref="E93" r:id="rId66" xr:uid="{00000000-0004-0000-0800-000041000000}"/>
    <hyperlink ref="E94" r:id="rId67" xr:uid="{00000000-0004-0000-0800-000042000000}"/>
    <hyperlink ref="E95" r:id="rId68" xr:uid="{00000000-0004-0000-0800-000043000000}"/>
    <hyperlink ref="E96" r:id="rId69" xr:uid="{00000000-0004-0000-0800-000044000000}"/>
    <hyperlink ref="E97" r:id="rId70" xr:uid="{00000000-0004-0000-0800-000045000000}"/>
    <hyperlink ref="E98" r:id="rId71" xr:uid="{00000000-0004-0000-0800-000046000000}"/>
    <hyperlink ref="E99" r:id="rId72" xr:uid="{00000000-0004-0000-0800-000047000000}"/>
    <hyperlink ref="E100" r:id="rId73" xr:uid="{00000000-0004-0000-0800-000048000000}"/>
    <hyperlink ref="E101" r:id="rId74" xr:uid="{00000000-0004-0000-0800-000049000000}"/>
    <hyperlink ref="E102" r:id="rId75" xr:uid="{00000000-0004-0000-0800-00004A000000}"/>
    <hyperlink ref="E103" r:id="rId76" xr:uid="{00000000-0004-0000-0800-00004B000000}"/>
    <hyperlink ref="E104" r:id="rId77" xr:uid="{00000000-0004-0000-0800-00004C000000}"/>
    <hyperlink ref="E105" r:id="rId78" xr:uid="{00000000-0004-0000-0800-00004D000000}"/>
    <hyperlink ref="E20" r:id="rId79" xr:uid="{00000000-0004-0000-0800-00004E000000}"/>
    <hyperlink ref="E21" r:id="rId80" xr:uid="{00000000-0004-0000-0800-00004F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  <pageSetUpPr fitToPage="1"/>
  </sheetPr>
  <dimension ref="A1:R227"/>
  <sheetViews>
    <sheetView showGridLines="0" tabSelected="1" topLeftCell="D1" zoomScale="90" zoomScaleNormal="90" workbookViewId="0">
      <pane ySplit="2" topLeftCell="A3" activePane="bottomLeft" state="frozen"/>
      <selection activeCell="B1" sqref="B1:E16"/>
      <selection pane="bottomLeft" activeCell="G3" sqref="G3"/>
    </sheetView>
  </sheetViews>
  <sheetFormatPr defaultColWidth="9" defaultRowHeight="25.05" customHeight="1" outlineLevelCol="1"/>
  <cols>
    <col min="1" max="1" width="13.5" style="76" hidden="1" customWidth="1" outlineLevel="1"/>
    <col min="2" max="2" width="11.5" style="76" hidden="1" customWidth="1" outlineLevel="1"/>
    <col min="3" max="3" width="29.296875" style="76" hidden="1" customWidth="1" outlineLevel="1"/>
    <col min="4" max="4" width="7.69921875" style="85" customWidth="1" collapsed="1"/>
    <col min="5" max="5" width="6.796875" customWidth="1"/>
    <col min="6" max="6" width="21.19921875" customWidth="1"/>
    <col min="7" max="7" width="28" bestFit="1" customWidth="1"/>
    <col min="8" max="8" width="12.59765625" style="74" bestFit="1" customWidth="1"/>
    <col min="9" max="9" width="11.69921875" customWidth="1"/>
    <col min="10" max="10" width="16" bestFit="1" customWidth="1"/>
    <col min="11" max="12" width="10.59765625" style="74" customWidth="1" outlineLevel="1"/>
    <col min="13" max="13" width="10.69921875" style="74" customWidth="1" outlineLevel="1"/>
    <col min="15" max="15" width="9.796875" bestFit="1" customWidth="1"/>
  </cols>
  <sheetData>
    <row r="1" spans="1:18" s="2" customFormat="1" ht="25.05" customHeight="1">
      <c r="A1" s="115"/>
      <c r="B1" s="115"/>
      <c r="C1" s="115"/>
      <c r="D1" s="197" t="s">
        <v>316</v>
      </c>
      <c r="E1" s="198" t="s">
        <v>6</v>
      </c>
      <c r="F1" s="197" t="s">
        <v>238</v>
      </c>
      <c r="G1" s="198" t="s">
        <v>202</v>
      </c>
      <c r="H1" s="199" t="s">
        <v>194</v>
      </c>
      <c r="I1" s="198" t="s">
        <v>204</v>
      </c>
      <c r="J1" s="417" t="s">
        <v>1525</v>
      </c>
      <c r="K1" s="323" t="s">
        <v>330</v>
      </c>
      <c r="L1" s="324"/>
      <c r="M1" s="324"/>
    </row>
    <row r="2" spans="1:18" s="2" customFormat="1" ht="25.05" customHeight="1">
      <c r="A2" s="285" t="s">
        <v>201</v>
      </c>
      <c r="B2" s="285" t="s">
        <v>194</v>
      </c>
      <c r="C2" s="285" t="s">
        <v>242</v>
      </c>
      <c r="D2" s="197" t="s">
        <v>316</v>
      </c>
      <c r="E2" s="198" t="s">
        <v>6</v>
      </c>
      <c r="F2" s="197" t="s">
        <v>238</v>
      </c>
      <c r="G2" s="198" t="s">
        <v>202</v>
      </c>
      <c r="H2" s="199" t="s">
        <v>194</v>
      </c>
      <c r="I2" s="198" t="s">
        <v>204</v>
      </c>
      <c r="J2" s="417" t="s">
        <v>1525</v>
      </c>
      <c r="K2" s="202" t="s">
        <v>203</v>
      </c>
      <c r="L2" s="202" t="s">
        <v>220</v>
      </c>
      <c r="M2" s="234" t="s">
        <v>348</v>
      </c>
    </row>
    <row r="3" spans="1:18" s="2" customFormat="1" ht="25.05" customHeight="1">
      <c r="A3" s="115"/>
      <c r="B3" s="120"/>
      <c r="C3" s="120"/>
      <c r="D3" s="125" t="s">
        <v>1570</v>
      </c>
      <c r="E3" s="122" t="s">
        <v>229</v>
      </c>
      <c r="F3" s="210" t="s">
        <v>1573</v>
      </c>
      <c r="G3" s="210"/>
      <c r="H3" s="123"/>
      <c r="I3" s="169" t="s">
        <v>357</v>
      </c>
      <c r="J3" s="170" t="s">
        <v>1521</v>
      </c>
      <c r="K3" s="170">
        <v>170000</v>
      </c>
      <c r="L3" s="170">
        <v>300000</v>
      </c>
      <c r="M3" s="170"/>
      <c r="R3" s="124"/>
    </row>
    <row r="4" spans="1:18" s="2" customFormat="1" ht="25.05" customHeight="1">
      <c r="A4" s="115"/>
      <c r="B4" s="120"/>
      <c r="C4" s="120"/>
      <c r="D4" s="125" t="s">
        <v>1570</v>
      </c>
      <c r="E4" s="122" t="s">
        <v>229</v>
      </c>
      <c r="F4" s="210" t="s">
        <v>1573</v>
      </c>
      <c r="G4" s="210"/>
      <c r="H4" s="123"/>
      <c r="I4" s="176" t="s">
        <v>988</v>
      </c>
      <c r="J4" s="177" t="s">
        <v>1522</v>
      </c>
      <c r="K4" s="178">
        <v>150000</v>
      </c>
      <c r="L4" s="178">
        <v>220000</v>
      </c>
      <c r="M4" s="178"/>
      <c r="R4" s="124"/>
    </row>
    <row r="5" spans="1:18" s="2" customFormat="1" ht="25.05" customHeight="1">
      <c r="A5" s="115"/>
      <c r="B5" s="120"/>
      <c r="C5" s="120"/>
      <c r="D5" s="125" t="s">
        <v>1570</v>
      </c>
      <c r="E5" s="122" t="s">
        <v>229</v>
      </c>
      <c r="F5" s="210" t="s">
        <v>1573</v>
      </c>
      <c r="G5" s="210"/>
      <c r="H5" s="123"/>
      <c r="I5" s="176" t="s">
        <v>992</v>
      </c>
      <c r="J5" s="177" t="s">
        <v>1523</v>
      </c>
      <c r="K5" s="178">
        <v>120000</v>
      </c>
      <c r="L5" s="178">
        <v>180000</v>
      </c>
      <c r="M5" s="178"/>
      <c r="R5" s="124"/>
    </row>
    <row r="6" spans="1:18" s="2" customFormat="1" ht="25.05" customHeight="1">
      <c r="A6" s="115"/>
      <c r="B6" s="120"/>
      <c r="C6" s="120"/>
      <c r="D6" s="125" t="s">
        <v>1570</v>
      </c>
      <c r="E6" s="122" t="s">
        <v>229</v>
      </c>
      <c r="F6" s="210" t="s">
        <v>1573</v>
      </c>
      <c r="G6" s="210"/>
      <c r="H6" s="123"/>
      <c r="I6" s="182" t="s">
        <v>990</v>
      </c>
      <c r="J6" s="183" t="s">
        <v>1524</v>
      </c>
      <c r="K6" s="184">
        <v>80000</v>
      </c>
      <c r="L6" s="184">
        <v>130000</v>
      </c>
      <c r="M6" s="184"/>
      <c r="R6" s="124"/>
    </row>
    <row r="7" spans="1:18" s="2" customFormat="1" ht="25.05" customHeight="1">
      <c r="A7" s="115" t="s">
        <v>1699</v>
      </c>
      <c r="B7" s="120">
        <f>VLOOKUP($A7,출고가!$C:$E,3,FALSE)</f>
        <v>1254000</v>
      </c>
      <c r="C7" s="120" t="str">
        <f t="shared" ref="C7:C18" si="0">A7&amp;I7</f>
        <v>SM-S942NK베이직</v>
      </c>
      <c r="D7" s="125" t="s">
        <v>381</v>
      </c>
      <c r="E7" s="122" t="s">
        <v>229</v>
      </c>
      <c r="F7" s="210" t="str">
        <f>A7</f>
        <v>SM-S942NK</v>
      </c>
      <c r="G7" s="210" t="str">
        <f>VLOOKUP(F7,출고가!C:D,2,0)</f>
        <v>갤럭시S26 (256GB)</v>
      </c>
      <c r="H7" s="123">
        <f>B7</f>
        <v>1254000</v>
      </c>
      <c r="I7" s="169" t="s">
        <v>357</v>
      </c>
      <c r="J7" s="170" t="s">
        <v>1521</v>
      </c>
      <c r="K7" s="170">
        <v>450000</v>
      </c>
      <c r="L7" s="170">
        <v>450000</v>
      </c>
      <c r="M7" s="170">
        <v>400000</v>
      </c>
      <c r="O7" s="124"/>
    </row>
    <row r="8" spans="1:18" s="2" customFormat="1" ht="25.05" customHeight="1">
      <c r="A8" s="115" t="s">
        <v>1699</v>
      </c>
      <c r="B8" s="120">
        <f>VLOOKUP($A8,출고가!$C:$E,3,FALSE)</f>
        <v>1254000</v>
      </c>
      <c r="C8" s="120" t="str">
        <f t="shared" si="0"/>
        <v>SM-S942NK심플30G</v>
      </c>
      <c r="D8" s="125" t="s">
        <v>381</v>
      </c>
      <c r="E8" s="122" t="s">
        <v>229</v>
      </c>
      <c r="F8" s="210" t="str">
        <f t="shared" ref="F8:F10" si="1">A8</f>
        <v>SM-S942NK</v>
      </c>
      <c r="G8" s="210" t="str">
        <f>VLOOKUP(F8,출고가!C:D,2,0)</f>
        <v>갤럭시S26 (256GB)</v>
      </c>
      <c r="H8" s="123">
        <f t="shared" ref="H8:H10" si="2">B8</f>
        <v>1254000</v>
      </c>
      <c r="I8" s="176" t="s">
        <v>988</v>
      </c>
      <c r="J8" s="177" t="s">
        <v>1522</v>
      </c>
      <c r="K8" s="178">
        <v>350000</v>
      </c>
      <c r="L8" s="178">
        <v>350000</v>
      </c>
      <c r="M8" s="178">
        <v>300000</v>
      </c>
      <c r="O8" s="124"/>
    </row>
    <row r="9" spans="1:18" s="2" customFormat="1" ht="25.05" customHeight="1">
      <c r="A9" s="115" t="s">
        <v>1699</v>
      </c>
      <c r="B9" s="120">
        <f>VLOOKUP($A9,출고가!$C:$E,3,FALSE)</f>
        <v>1254000</v>
      </c>
      <c r="C9" s="120" t="str">
        <f t="shared" si="0"/>
        <v>SM-S942NK슬림10G</v>
      </c>
      <c r="D9" s="125" t="s">
        <v>381</v>
      </c>
      <c r="E9" s="122" t="s">
        <v>229</v>
      </c>
      <c r="F9" s="210" t="str">
        <f t="shared" si="1"/>
        <v>SM-S942NK</v>
      </c>
      <c r="G9" s="210" t="str">
        <f>VLOOKUP(F9,출고가!C:D,2,0)</f>
        <v>갤럭시S26 (256GB)</v>
      </c>
      <c r="H9" s="123">
        <f t="shared" si="2"/>
        <v>1254000</v>
      </c>
      <c r="I9" s="176" t="s">
        <v>992</v>
      </c>
      <c r="J9" s="177" t="s">
        <v>1523</v>
      </c>
      <c r="K9" s="178">
        <v>250000</v>
      </c>
      <c r="L9" s="178">
        <v>250000</v>
      </c>
      <c r="M9" s="178">
        <v>200000</v>
      </c>
      <c r="O9" s="124"/>
    </row>
    <row r="10" spans="1:18" s="2" customFormat="1" ht="25.05" customHeight="1">
      <c r="A10" s="115" t="s">
        <v>1699</v>
      </c>
      <c r="B10" s="120">
        <f>VLOOKUP($A10,출고가!$C:$E,3,FALSE)</f>
        <v>1254000</v>
      </c>
      <c r="C10" s="120" t="str">
        <f t="shared" si="0"/>
        <v>SM-S942NK슬림4G</v>
      </c>
      <c r="D10" s="125" t="s">
        <v>381</v>
      </c>
      <c r="E10" s="122" t="s">
        <v>229</v>
      </c>
      <c r="F10" s="210" t="str">
        <f t="shared" si="1"/>
        <v>SM-S942NK</v>
      </c>
      <c r="G10" s="210" t="str">
        <f>VLOOKUP(F10,출고가!C:D,2,0)</f>
        <v>갤럭시S26 (256GB)</v>
      </c>
      <c r="H10" s="123">
        <f t="shared" si="2"/>
        <v>1254000</v>
      </c>
      <c r="I10" s="182" t="s">
        <v>990</v>
      </c>
      <c r="J10" s="183" t="s">
        <v>1524</v>
      </c>
      <c r="K10" s="184">
        <v>150000</v>
      </c>
      <c r="L10" s="184">
        <v>150000</v>
      </c>
      <c r="M10" s="184">
        <v>100000</v>
      </c>
      <c r="O10" s="124"/>
    </row>
    <row r="11" spans="1:18" s="2" customFormat="1" ht="25.05" customHeight="1">
      <c r="A11" s="115" t="s">
        <v>1700</v>
      </c>
      <c r="B11" s="120">
        <f>VLOOKUP($A11,출고가!$C:$E,3,FALSE)</f>
        <v>1452000</v>
      </c>
      <c r="C11" s="120" t="str">
        <f t="shared" si="0"/>
        <v>SM-S947NK베이직</v>
      </c>
      <c r="D11" s="125" t="s">
        <v>381</v>
      </c>
      <c r="E11" s="122" t="s">
        <v>229</v>
      </c>
      <c r="F11" s="210" t="str">
        <f>A11</f>
        <v>SM-S947NK</v>
      </c>
      <c r="G11" s="210" t="str">
        <f>VLOOKUP(F11,출고가!C:D,2,0)</f>
        <v>갤럭시S26+ (256GB)</v>
      </c>
      <c r="H11" s="123">
        <f>B11</f>
        <v>1452000</v>
      </c>
      <c r="I11" s="169" t="s">
        <v>357</v>
      </c>
      <c r="J11" s="170" t="s">
        <v>1521</v>
      </c>
      <c r="K11" s="170">
        <v>450000</v>
      </c>
      <c r="L11" s="170">
        <v>450000</v>
      </c>
      <c r="M11" s="170">
        <v>400000</v>
      </c>
      <c r="O11" s="124"/>
    </row>
    <row r="12" spans="1:18" s="2" customFormat="1" ht="25.05" customHeight="1">
      <c r="A12" s="115" t="s">
        <v>1700</v>
      </c>
      <c r="B12" s="120">
        <f>VLOOKUP($A12,출고가!$C:$E,3,FALSE)</f>
        <v>1452000</v>
      </c>
      <c r="C12" s="120" t="str">
        <f t="shared" si="0"/>
        <v>SM-S947NK심플30G</v>
      </c>
      <c r="D12" s="125" t="s">
        <v>381</v>
      </c>
      <c r="E12" s="122" t="s">
        <v>229</v>
      </c>
      <c r="F12" s="210" t="str">
        <f t="shared" ref="F12:F14" si="3">A12</f>
        <v>SM-S947NK</v>
      </c>
      <c r="G12" s="210" t="str">
        <f>VLOOKUP(F12,출고가!C:D,2,0)</f>
        <v>갤럭시S26+ (256GB)</v>
      </c>
      <c r="H12" s="123">
        <f t="shared" ref="H12:H14" si="4">B12</f>
        <v>1452000</v>
      </c>
      <c r="I12" s="176" t="s">
        <v>988</v>
      </c>
      <c r="J12" s="177" t="s">
        <v>1522</v>
      </c>
      <c r="K12" s="178">
        <v>350000</v>
      </c>
      <c r="L12" s="178">
        <v>350000</v>
      </c>
      <c r="M12" s="178">
        <v>300000</v>
      </c>
      <c r="O12" s="124"/>
    </row>
    <row r="13" spans="1:18" s="2" customFormat="1" ht="25.05" customHeight="1">
      <c r="A13" s="115" t="s">
        <v>1700</v>
      </c>
      <c r="B13" s="120">
        <f>VLOOKUP($A13,출고가!$C:$E,3,FALSE)</f>
        <v>1452000</v>
      </c>
      <c r="C13" s="120" t="str">
        <f t="shared" si="0"/>
        <v>SM-S947NK슬림10G</v>
      </c>
      <c r="D13" s="125" t="s">
        <v>381</v>
      </c>
      <c r="E13" s="122" t="s">
        <v>229</v>
      </c>
      <c r="F13" s="210" t="str">
        <f t="shared" si="3"/>
        <v>SM-S947NK</v>
      </c>
      <c r="G13" s="210" t="str">
        <f>VLOOKUP(F13,출고가!C:D,2,0)</f>
        <v>갤럭시S26+ (256GB)</v>
      </c>
      <c r="H13" s="123">
        <f t="shared" si="4"/>
        <v>1452000</v>
      </c>
      <c r="I13" s="176" t="s">
        <v>992</v>
      </c>
      <c r="J13" s="177" t="s">
        <v>1523</v>
      </c>
      <c r="K13" s="178">
        <v>250000</v>
      </c>
      <c r="L13" s="178">
        <v>250000</v>
      </c>
      <c r="M13" s="178">
        <v>200000</v>
      </c>
      <c r="O13" s="124"/>
    </row>
    <row r="14" spans="1:18" s="2" customFormat="1" ht="25.05" customHeight="1">
      <c r="A14" s="115" t="s">
        <v>1700</v>
      </c>
      <c r="B14" s="120">
        <f>VLOOKUP($A14,출고가!$C:$E,3,FALSE)</f>
        <v>1452000</v>
      </c>
      <c r="C14" s="120" t="str">
        <f t="shared" si="0"/>
        <v>SM-S947NK슬림4G</v>
      </c>
      <c r="D14" s="125" t="s">
        <v>381</v>
      </c>
      <c r="E14" s="122" t="s">
        <v>229</v>
      </c>
      <c r="F14" s="210" t="str">
        <f t="shared" si="3"/>
        <v>SM-S947NK</v>
      </c>
      <c r="G14" s="210" t="str">
        <f>VLOOKUP(F14,출고가!C:D,2,0)</f>
        <v>갤럭시S26+ (256GB)</v>
      </c>
      <c r="H14" s="123">
        <f t="shared" si="4"/>
        <v>1452000</v>
      </c>
      <c r="I14" s="182" t="s">
        <v>990</v>
      </c>
      <c r="J14" s="183" t="s">
        <v>1524</v>
      </c>
      <c r="K14" s="184">
        <v>150000</v>
      </c>
      <c r="L14" s="184">
        <v>150000</v>
      </c>
      <c r="M14" s="184">
        <v>100000</v>
      </c>
      <c r="O14" s="124"/>
    </row>
    <row r="15" spans="1:18" s="2" customFormat="1" ht="25.05" customHeight="1">
      <c r="A15" s="115" t="s">
        <v>1701</v>
      </c>
      <c r="B15" s="120">
        <f>VLOOKUP($A15,출고가!$C:$E,3,FALSE)</f>
        <v>1797400</v>
      </c>
      <c r="C15" s="120" t="str">
        <f t="shared" si="0"/>
        <v>SM-S948NK베이직</v>
      </c>
      <c r="D15" s="125" t="s">
        <v>381</v>
      </c>
      <c r="E15" s="122" t="s">
        <v>229</v>
      </c>
      <c r="F15" s="210" t="str">
        <f>A15</f>
        <v>SM-S948NK</v>
      </c>
      <c r="G15" s="210" t="str">
        <f>VLOOKUP(F15,출고가!C:D,2,0)</f>
        <v>갤럭시S26 울트라 (256GB)</v>
      </c>
      <c r="H15" s="123">
        <f>B15</f>
        <v>1797400</v>
      </c>
      <c r="I15" s="169" t="s">
        <v>357</v>
      </c>
      <c r="J15" s="170" t="s">
        <v>1521</v>
      </c>
      <c r="K15" s="170">
        <v>450000</v>
      </c>
      <c r="L15" s="170">
        <v>450000</v>
      </c>
      <c r="M15" s="170">
        <v>400000</v>
      </c>
      <c r="O15" s="124"/>
    </row>
    <row r="16" spans="1:18" s="2" customFormat="1" ht="25.05" customHeight="1">
      <c r="A16" s="115" t="s">
        <v>1701</v>
      </c>
      <c r="B16" s="120">
        <f>VLOOKUP($A16,출고가!$C:$E,3,FALSE)</f>
        <v>1797400</v>
      </c>
      <c r="C16" s="120" t="str">
        <f t="shared" si="0"/>
        <v>SM-S948NK심플30G</v>
      </c>
      <c r="D16" s="125" t="s">
        <v>381</v>
      </c>
      <c r="E16" s="122" t="s">
        <v>229</v>
      </c>
      <c r="F16" s="210" t="str">
        <f t="shared" ref="F16:F18" si="5">A16</f>
        <v>SM-S948NK</v>
      </c>
      <c r="G16" s="210" t="str">
        <f>VLOOKUP(F16,출고가!C:D,2,0)</f>
        <v>갤럭시S26 울트라 (256GB)</v>
      </c>
      <c r="H16" s="123">
        <f t="shared" ref="H16:H18" si="6">B16</f>
        <v>1797400</v>
      </c>
      <c r="I16" s="176" t="s">
        <v>988</v>
      </c>
      <c r="J16" s="177" t="s">
        <v>1522</v>
      </c>
      <c r="K16" s="178">
        <v>350000</v>
      </c>
      <c r="L16" s="178">
        <v>350000</v>
      </c>
      <c r="M16" s="178">
        <v>300000</v>
      </c>
      <c r="O16" s="124"/>
    </row>
    <row r="17" spans="1:18" s="2" customFormat="1" ht="25.05" customHeight="1">
      <c r="A17" s="115" t="s">
        <v>1701</v>
      </c>
      <c r="B17" s="120">
        <f>VLOOKUP($A17,출고가!$C:$E,3,FALSE)</f>
        <v>1797400</v>
      </c>
      <c r="C17" s="120" t="str">
        <f t="shared" si="0"/>
        <v>SM-S948NK슬림10G</v>
      </c>
      <c r="D17" s="125" t="s">
        <v>381</v>
      </c>
      <c r="E17" s="122" t="s">
        <v>229</v>
      </c>
      <c r="F17" s="210" t="str">
        <f t="shared" si="5"/>
        <v>SM-S948NK</v>
      </c>
      <c r="G17" s="210" t="str">
        <f>VLOOKUP(F17,출고가!C:D,2,0)</f>
        <v>갤럭시S26 울트라 (256GB)</v>
      </c>
      <c r="H17" s="123">
        <f t="shared" si="6"/>
        <v>1797400</v>
      </c>
      <c r="I17" s="176" t="s">
        <v>992</v>
      </c>
      <c r="J17" s="177" t="s">
        <v>1523</v>
      </c>
      <c r="K17" s="178">
        <v>250000</v>
      </c>
      <c r="L17" s="178">
        <v>250000</v>
      </c>
      <c r="M17" s="178">
        <v>200000</v>
      </c>
      <c r="O17" s="124"/>
    </row>
    <row r="18" spans="1:18" s="2" customFormat="1" ht="25.05" customHeight="1">
      <c r="A18" s="115" t="s">
        <v>1701</v>
      </c>
      <c r="B18" s="120">
        <f>VLOOKUP($A18,출고가!$C:$E,3,FALSE)</f>
        <v>1797400</v>
      </c>
      <c r="C18" s="120" t="str">
        <f t="shared" si="0"/>
        <v>SM-S948NK슬림4G</v>
      </c>
      <c r="D18" s="125" t="s">
        <v>381</v>
      </c>
      <c r="E18" s="122" t="s">
        <v>229</v>
      </c>
      <c r="F18" s="210" t="str">
        <f t="shared" si="5"/>
        <v>SM-S948NK</v>
      </c>
      <c r="G18" s="210" t="str">
        <f>VLOOKUP(F18,출고가!C:D,2,0)</f>
        <v>갤럭시S26 울트라 (256GB)</v>
      </c>
      <c r="H18" s="123">
        <f t="shared" si="6"/>
        <v>1797400</v>
      </c>
      <c r="I18" s="182" t="s">
        <v>990</v>
      </c>
      <c r="J18" s="183" t="s">
        <v>1524</v>
      </c>
      <c r="K18" s="184">
        <v>150000</v>
      </c>
      <c r="L18" s="184">
        <v>150000</v>
      </c>
      <c r="M18" s="184">
        <v>100000</v>
      </c>
      <c r="O18" s="124"/>
    </row>
    <row r="19" spans="1:18" s="2" customFormat="1" ht="25.05" customHeight="1">
      <c r="A19" s="115" t="s">
        <v>1543</v>
      </c>
      <c r="B19" s="120">
        <f>VLOOKUP($A19,출고가!$C:$E,3,FALSE)</f>
        <v>1485000</v>
      </c>
      <c r="C19" s="120" t="str">
        <f t="shared" ref="C19:C80" si="7">A19&amp;I19</f>
        <v>SM-F766NK베이직</v>
      </c>
      <c r="D19" s="125" t="s">
        <v>381</v>
      </c>
      <c r="E19" s="122" t="s">
        <v>229</v>
      </c>
      <c r="F19" s="210" t="str">
        <f>A19</f>
        <v>SM-F766NK</v>
      </c>
      <c r="G19" s="210" t="str">
        <f>VLOOKUP(F19,[1]출고가!C:D,2,0)</f>
        <v>갤럭시 Z Flip7</v>
      </c>
      <c r="H19" s="123">
        <f>B19</f>
        <v>1485000</v>
      </c>
      <c r="I19" s="169" t="s">
        <v>357</v>
      </c>
      <c r="J19" s="170" t="s">
        <v>1521</v>
      </c>
      <c r="K19" s="170">
        <v>580000</v>
      </c>
      <c r="L19" s="170">
        <v>580000</v>
      </c>
      <c r="M19" s="170">
        <v>580000</v>
      </c>
      <c r="R19" s="124"/>
    </row>
    <row r="20" spans="1:18" s="2" customFormat="1" ht="25.05" customHeight="1">
      <c r="A20" s="115" t="s">
        <v>1544</v>
      </c>
      <c r="B20" s="120">
        <f>VLOOKUP($A20,출고가!$C:$E,3,FALSE)</f>
        <v>1485000</v>
      </c>
      <c r="C20" s="120" t="str">
        <f t="shared" si="7"/>
        <v>SM-F766NK심플30G</v>
      </c>
      <c r="D20" s="125" t="s">
        <v>381</v>
      </c>
      <c r="E20" s="122" t="s">
        <v>229</v>
      </c>
      <c r="F20" s="210" t="str">
        <f t="shared" ref="F20:F22" si="8">A20</f>
        <v>SM-F766NK</v>
      </c>
      <c r="G20" s="210" t="str">
        <f>VLOOKUP(F20,[1]출고가!C:D,2,0)</f>
        <v>갤럭시 Z Flip7</v>
      </c>
      <c r="H20" s="123">
        <f t="shared" ref="H20:H22" si="9">B20</f>
        <v>1485000</v>
      </c>
      <c r="I20" s="176" t="s">
        <v>988</v>
      </c>
      <c r="J20" s="177" t="s">
        <v>1522</v>
      </c>
      <c r="K20" s="178">
        <v>530000</v>
      </c>
      <c r="L20" s="178">
        <v>530000</v>
      </c>
      <c r="M20" s="178">
        <v>530000</v>
      </c>
      <c r="R20" s="124"/>
    </row>
    <row r="21" spans="1:18" s="2" customFormat="1" ht="25.05" customHeight="1">
      <c r="A21" s="115" t="s">
        <v>1544</v>
      </c>
      <c r="B21" s="120">
        <f>VLOOKUP($A21,출고가!$C:$E,3,FALSE)</f>
        <v>1485000</v>
      </c>
      <c r="C21" s="120" t="str">
        <f t="shared" si="7"/>
        <v>SM-F766NK슬림10G</v>
      </c>
      <c r="D21" s="125" t="s">
        <v>381</v>
      </c>
      <c r="E21" s="122" t="s">
        <v>229</v>
      </c>
      <c r="F21" s="210" t="str">
        <f t="shared" si="8"/>
        <v>SM-F766NK</v>
      </c>
      <c r="G21" s="210" t="str">
        <f>VLOOKUP(F21,[1]출고가!C:D,2,0)</f>
        <v>갤럭시 Z Flip7</v>
      </c>
      <c r="H21" s="123">
        <f t="shared" si="9"/>
        <v>1485000</v>
      </c>
      <c r="I21" s="176" t="s">
        <v>992</v>
      </c>
      <c r="J21" s="177" t="s">
        <v>1523</v>
      </c>
      <c r="K21" s="178">
        <v>480000</v>
      </c>
      <c r="L21" s="178">
        <v>480000</v>
      </c>
      <c r="M21" s="178">
        <v>480000</v>
      </c>
      <c r="R21" s="124"/>
    </row>
    <row r="22" spans="1:18" s="2" customFormat="1" ht="25.05" customHeight="1">
      <c r="A22" s="115" t="s">
        <v>1543</v>
      </c>
      <c r="B22" s="120">
        <f>VLOOKUP($A22,출고가!$C:$E,3,FALSE)</f>
        <v>1485000</v>
      </c>
      <c r="C22" s="120" t="str">
        <f t="shared" si="7"/>
        <v>SM-F766NK슬림4G</v>
      </c>
      <c r="D22" s="125" t="s">
        <v>381</v>
      </c>
      <c r="E22" s="122" t="s">
        <v>229</v>
      </c>
      <c r="F22" s="210" t="str">
        <f t="shared" si="8"/>
        <v>SM-F766NK</v>
      </c>
      <c r="G22" s="210" t="str">
        <f>VLOOKUP(F22,[1]출고가!C:D,2,0)</f>
        <v>갤럭시 Z Flip7</v>
      </c>
      <c r="H22" s="123">
        <f t="shared" si="9"/>
        <v>1485000</v>
      </c>
      <c r="I22" s="182" t="s">
        <v>990</v>
      </c>
      <c r="J22" s="183" t="s">
        <v>1524</v>
      </c>
      <c r="K22" s="184">
        <v>350000</v>
      </c>
      <c r="L22" s="184">
        <v>350000</v>
      </c>
      <c r="M22" s="184">
        <v>350000</v>
      </c>
      <c r="R22" s="124"/>
    </row>
    <row r="23" spans="1:18" s="2" customFormat="1" ht="25.05" customHeight="1">
      <c r="A23" s="115" t="s">
        <v>1549</v>
      </c>
      <c r="B23" s="120">
        <f>VLOOKUP($A23,출고가!$C:$E,3,FALSE)</f>
        <v>2379300</v>
      </c>
      <c r="C23" s="120" t="str">
        <f t="shared" si="7"/>
        <v>SM-F966NK베이직</v>
      </c>
      <c r="D23" s="125" t="s">
        <v>381</v>
      </c>
      <c r="E23" s="122" t="s">
        <v>1550</v>
      </c>
      <c r="F23" s="210" t="str">
        <f>A23</f>
        <v>SM-F966NK</v>
      </c>
      <c r="G23" s="210" t="str">
        <f>VLOOKUP(F23,[1]출고가!C:D,2,0)</f>
        <v>갤럭시 Z Fold7</v>
      </c>
      <c r="H23" s="123">
        <f>B23</f>
        <v>2379300</v>
      </c>
      <c r="I23" s="169" t="s">
        <v>357</v>
      </c>
      <c r="J23" s="170" t="s">
        <v>1521</v>
      </c>
      <c r="K23" s="170">
        <v>580000</v>
      </c>
      <c r="L23" s="170">
        <v>580000</v>
      </c>
      <c r="M23" s="170">
        <v>580000</v>
      </c>
      <c r="R23" s="124"/>
    </row>
    <row r="24" spans="1:18" s="2" customFormat="1" ht="25.05" customHeight="1">
      <c r="A24" s="115" t="s">
        <v>1549</v>
      </c>
      <c r="B24" s="120">
        <f>VLOOKUP($A24,출고가!$C:$E,3,FALSE)</f>
        <v>2379300</v>
      </c>
      <c r="C24" s="120" t="str">
        <f t="shared" si="7"/>
        <v>SM-F966NK심플30G</v>
      </c>
      <c r="D24" s="125" t="s">
        <v>381</v>
      </c>
      <c r="E24" s="122" t="s">
        <v>229</v>
      </c>
      <c r="F24" s="210" t="str">
        <f t="shared" ref="F24:F26" si="10">A24</f>
        <v>SM-F966NK</v>
      </c>
      <c r="G24" s="210" t="str">
        <f>VLOOKUP(F24,[1]출고가!C:D,2,0)</f>
        <v>갤럭시 Z Fold7</v>
      </c>
      <c r="H24" s="123">
        <f t="shared" ref="H24:H26" si="11">B24</f>
        <v>2379300</v>
      </c>
      <c r="I24" s="176" t="s">
        <v>988</v>
      </c>
      <c r="J24" s="177" t="s">
        <v>1522</v>
      </c>
      <c r="K24" s="178">
        <v>530000</v>
      </c>
      <c r="L24" s="178">
        <v>530000</v>
      </c>
      <c r="M24" s="178">
        <v>530000</v>
      </c>
      <c r="R24" s="124"/>
    </row>
    <row r="25" spans="1:18" s="2" customFormat="1" ht="25.05" customHeight="1">
      <c r="A25" s="115" t="s">
        <v>1551</v>
      </c>
      <c r="B25" s="120">
        <f>VLOOKUP($A25,출고가!$C:$E,3,FALSE)</f>
        <v>2379300</v>
      </c>
      <c r="C25" s="120" t="str">
        <f t="shared" si="7"/>
        <v>SM-F966NK슬림10G</v>
      </c>
      <c r="D25" s="125" t="s">
        <v>381</v>
      </c>
      <c r="E25" s="122" t="s">
        <v>229</v>
      </c>
      <c r="F25" s="210" t="str">
        <f t="shared" si="10"/>
        <v>SM-F966NK</v>
      </c>
      <c r="G25" s="210" t="str">
        <f>VLOOKUP(F25,[1]출고가!C:D,2,0)</f>
        <v>갤럭시 Z Fold7</v>
      </c>
      <c r="H25" s="123">
        <f t="shared" si="11"/>
        <v>2379300</v>
      </c>
      <c r="I25" s="176" t="s">
        <v>992</v>
      </c>
      <c r="J25" s="177" t="s">
        <v>1523</v>
      </c>
      <c r="K25" s="178">
        <v>480000</v>
      </c>
      <c r="L25" s="178">
        <v>480000</v>
      </c>
      <c r="M25" s="178">
        <v>480000</v>
      </c>
      <c r="R25" s="124"/>
    </row>
    <row r="26" spans="1:18" s="2" customFormat="1" ht="25.05" customHeight="1">
      <c r="A26" s="115" t="s">
        <v>1549</v>
      </c>
      <c r="B26" s="120">
        <f>VLOOKUP($A26,출고가!$C:$E,3,FALSE)</f>
        <v>2379300</v>
      </c>
      <c r="C26" s="120" t="str">
        <f t="shared" si="7"/>
        <v>SM-F966NK슬림4G</v>
      </c>
      <c r="D26" s="125" t="s">
        <v>381</v>
      </c>
      <c r="E26" s="122" t="s">
        <v>229</v>
      </c>
      <c r="F26" s="210" t="str">
        <f t="shared" si="10"/>
        <v>SM-F966NK</v>
      </c>
      <c r="G26" s="210" t="str">
        <f>VLOOKUP(F26,[1]출고가!C:D,2,0)</f>
        <v>갤럭시 Z Fold7</v>
      </c>
      <c r="H26" s="123">
        <f t="shared" si="11"/>
        <v>2379300</v>
      </c>
      <c r="I26" s="182" t="s">
        <v>990</v>
      </c>
      <c r="J26" s="183" t="s">
        <v>1524</v>
      </c>
      <c r="K26" s="184">
        <v>350000</v>
      </c>
      <c r="L26" s="184">
        <v>350000</v>
      </c>
      <c r="M26" s="184">
        <v>350000</v>
      </c>
      <c r="R26" s="124"/>
    </row>
    <row r="27" spans="1:18" s="2" customFormat="1" ht="25.05" customHeight="1">
      <c r="A27" s="115" t="s">
        <v>1531</v>
      </c>
      <c r="B27" s="120">
        <f>VLOOKUP($A27,출고가!$C:$E,3,FALSE)</f>
        <v>1496000</v>
      </c>
      <c r="C27" s="120" t="str">
        <f t="shared" si="7"/>
        <v>SM-S937NK베이직</v>
      </c>
      <c r="D27" s="125" t="s">
        <v>381</v>
      </c>
      <c r="E27" s="122" t="s">
        <v>229</v>
      </c>
      <c r="F27" s="210" t="str">
        <f>A27</f>
        <v>SM-S937NK</v>
      </c>
      <c r="G27" s="210" t="str">
        <f>VLOOKUP(F27,출고가!C:D,2,0)</f>
        <v>갤럭시S25 엣지 (256GB)</v>
      </c>
      <c r="H27" s="123">
        <f>B27</f>
        <v>1496000</v>
      </c>
      <c r="I27" s="169" t="s">
        <v>357</v>
      </c>
      <c r="J27" s="170" t="s">
        <v>1521</v>
      </c>
      <c r="K27" s="170">
        <v>580000</v>
      </c>
      <c r="L27" s="170">
        <v>580000</v>
      </c>
      <c r="M27" s="170">
        <v>580000</v>
      </c>
    </row>
    <row r="28" spans="1:18" s="2" customFormat="1" ht="25.05" customHeight="1">
      <c r="A28" s="115" t="s">
        <v>1530</v>
      </c>
      <c r="B28" s="120">
        <f>VLOOKUP($A28,출고가!$C:$E,3,FALSE)</f>
        <v>1496000</v>
      </c>
      <c r="C28" s="120" t="str">
        <f t="shared" si="7"/>
        <v>SM-S937NK심플30G</v>
      </c>
      <c r="D28" s="125" t="s">
        <v>381</v>
      </c>
      <c r="E28" s="122" t="s">
        <v>229</v>
      </c>
      <c r="F28" s="210" t="str">
        <f t="shared" ref="F28:F30" si="12">A28</f>
        <v>SM-S937NK</v>
      </c>
      <c r="G28" s="210" t="str">
        <f>VLOOKUP(F28,출고가!C:D,2,0)</f>
        <v>갤럭시S25 엣지 (256GB)</v>
      </c>
      <c r="H28" s="123">
        <f t="shared" ref="H28:H30" si="13">B28</f>
        <v>1496000</v>
      </c>
      <c r="I28" s="176" t="s">
        <v>988</v>
      </c>
      <c r="J28" s="177" t="s">
        <v>1522</v>
      </c>
      <c r="K28" s="178">
        <v>530000</v>
      </c>
      <c r="L28" s="178">
        <v>530000</v>
      </c>
      <c r="M28" s="178">
        <v>530000</v>
      </c>
      <c r="O28" s="124"/>
    </row>
    <row r="29" spans="1:18" s="2" customFormat="1" ht="25.05" customHeight="1">
      <c r="A29" s="115" t="s">
        <v>1530</v>
      </c>
      <c r="B29" s="120">
        <f>VLOOKUP($A29,출고가!$C:$E,3,FALSE)</f>
        <v>1496000</v>
      </c>
      <c r="C29" s="120" t="str">
        <f t="shared" si="7"/>
        <v>SM-S937NK슬림10G</v>
      </c>
      <c r="D29" s="125" t="s">
        <v>381</v>
      </c>
      <c r="E29" s="122" t="s">
        <v>229</v>
      </c>
      <c r="F29" s="210" t="str">
        <f t="shared" si="12"/>
        <v>SM-S937NK</v>
      </c>
      <c r="G29" s="210" t="str">
        <f>VLOOKUP(F29,출고가!C:D,2,0)</f>
        <v>갤럭시S25 엣지 (256GB)</v>
      </c>
      <c r="H29" s="123">
        <f t="shared" si="13"/>
        <v>1496000</v>
      </c>
      <c r="I29" s="176" t="s">
        <v>992</v>
      </c>
      <c r="J29" s="177" t="s">
        <v>1523</v>
      </c>
      <c r="K29" s="178">
        <v>480000</v>
      </c>
      <c r="L29" s="178">
        <v>480000</v>
      </c>
      <c r="M29" s="178">
        <v>480000</v>
      </c>
      <c r="O29" s="124"/>
    </row>
    <row r="30" spans="1:18" s="2" customFormat="1" ht="25.05" customHeight="1">
      <c r="A30" s="115" t="s">
        <v>1530</v>
      </c>
      <c r="B30" s="120">
        <f>VLOOKUP($A30,출고가!$C:$E,3,FALSE)</f>
        <v>1496000</v>
      </c>
      <c r="C30" s="120" t="str">
        <f t="shared" si="7"/>
        <v>SM-S937NK슬림4G</v>
      </c>
      <c r="D30" s="125" t="s">
        <v>381</v>
      </c>
      <c r="E30" s="122" t="s">
        <v>229</v>
      </c>
      <c r="F30" s="210" t="str">
        <f t="shared" si="12"/>
        <v>SM-S937NK</v>
      </c>
      <c r="G30" s="210" t="str">
        <f>VLOOKUP(F30,출고가!C:D,2,0)</f>
        <v>갤럭시S25 엣지 (256GB)</v>
      </c>
      <c r="H30" s="123">
        <f t="shared" si="13"/>
        <v>1496000</v>
      </c>
      <c r="I30" s="182" t="s">
        <v>990</v>
      </c>
      <c r="J30" s="183" t="s">
        <v>1524</v>
      </c>
      <c r="K30" s="184">
        <v>350000</v>
      </c>
      <c r="L30" s="184">
        <v>350000</v>
      </c>
      <c r="M30" s="184">
        <v>350000</v>
      </c>
      <c r="O30" s="124"/>
    </row>
    <row r="31" spans="1:18" s="2" customFormat="1" ht="25.05" customHeight="1">
      <c r="A31" s="115" t="s">
        <v>1486</v>
      </c>
      <c r="B31" s="120">
        <f>VLOOKUP($A31,출고가!$C:$E,3,FALSE)</f>
        <v>1155000</v>
      </c>
      <c r="C31" s="120" t="str">
        <f t="shared" si="7"/>
        <v>SM-S931NK베이직</v>
      </c>
      <c r="D31" s="125" t="s">
        <v>381</v>
      </c>
      <c r="E31" s="122" t="s">
        <v>229</v>
      </c>
      <c r="F31" s="210" t="str">
        <f>A31</f>
        <v>SM-S931NK</v>
      </c>
      <c r="G31" s="210" t="str">
        <f>VLOOKUP(F31,출고가!C:D,2,0)</f>
        <v>갤럭시S25 (256GB)</v>
      </c>
      <c r="H31" s="123">
        <f>B31</f>
        <v>1155000</v>
      </c>
      <c r="I31" s="169" t="s">
        <v>357</v>
      </c>
      <c r="J31" s="170" t="s">
        <v>1521</v>
      </c>
      <c r="K31" s="170">
        <v>580000</v>
      </c>
      <c r="L31" s="170">
        <v>580000</v>
      </c>
      <c r="M31" s="170">
        <v>580000</v>
      </c>
      <c r="O31" s="124"/>
    </row>
    <row r="32" spans="1:18" s="2" customFormat="1" ht="25.05" customHeight="1">
      <c r="A32" s="115" t="s">
        <v>1485</v>
      </c>
      <c r="B32" s="120">
        <f>VLOOKUP($A32,출고가!$C:$E,3,FALSE)</f>
        <v>1155000</v>
      </c>
      <c r="C32" s="120" t="str">
        <f t="shared" si="7"/>
        <v>SM-S931NK심플30G</v>
      </c>
      <c r="D32" s="125" t="s">
        <v>381</v>
      </c>
      <c r="E32" s="122" t="s">
        <v>229</v>
      </c>
      <c r="F32" s="210" t="str">
        <f t="shared" ref="F32:F34" si="14">A32</f>
        <v>SM-S931NK</v>
      </c>
      <c r="G32" s="210" t="str">
        <f>VLOOKUP(F32,출고가!C:D,2,0)</f>
        <v>갤럭시S25 (256GB)</v>
      </c>
      <c r="H32" s="123">
        <f t="shared" ref="H32:H34" si="15">B32</f>
        <v>1155000</v>
      </c>
      <c r="I32" s="176" t="s">
        <v>988</v>
      </c>
      <c r="J32" s="177" t="s">
        <v>1522</v>
      </c>
      <c r="K32" s="178">
        <v>530000</v>
      </c>
      <c r="L32" s="178">
        <v>530000</v>
      </c>
      <c r="M32" s="178">
        <v>530000</v>
      </c>
      <c r="O32" s="124"/>
    </row>
    <row r="33" spans="1:15" s="2" customFormat="1" ht="25.05" customHeight="1">
      <c r="A33" s="115" t="s">
        <v>1485</v>
      </c>
      <c r="B33" s="120">
        <f>VLOOKUP($A33,출고가!$C:$E,3,FALSE)</f>
        <v>1155000</v>
      </c>
      <c r="C33" s="120" t="str">
        <f t="shared" si="7"/>
        <v>SM-S931NK슬림10G</v>
      </c>
      <c r="D33" s="125" t="s">
        <v>381</v>
      </c>
      <c r="E33" s="122" t="s">
        <v>229</v>
      </c>
      <c r="F33" s="210" t="str">
        <f t="shared" si="14"/>
        <v>SM-S931NK</v>
      </c>
      <c r="G33" s="210" t="str">
        <f>VLOOKUP(F33,출고가!C:D,2,0)</f>
        <v>갤럭시S25 (256GB)</v>
      </c>
      <c r="H33" s="123">
        <f t="shared" si="15"/>
        <v>1155000</v>
      </c>
      <c r="I33" s="176" t="s">
        <v>992</v>
      </c>
      <c r="J33" s="177" t="s">
        <v>1523</v>
      </c>
      <c r="K33" s="178">
        <v>480000</v>
      </c>
      <c r="L33" s="178">
        <v>480000</v>
      </c>
      <c r="M33" s="178">
        <v>480000</v>
      </c>
      <c r="O33" s="124"/>
    </row>
    <row r="34" spans="1:15" s="2" customFormat="1" ht="25.05" customHeight="1">
      <c r="A34" s="115" t="s">
        <v>1485</v>
      </c>
      <c r="B34" s="120">
        <f>VLOOKUP($A34,출고가!$C:$E,3,FALSE)</f>
        <v>1155000</v>
      </c>
      <c r="C34" s="120" t="str">
        <f t="shared" si="7"/>
        <v>SM-S931NK슬림4G</v>
      </c>
      <c r="D34" s="125" t="s">
        <v>381</v>
      </c>
      <c r="E34" s="122" t="s">
        <v>229</v>
      </c>
      <c r="F34" s="210" t="str">
        <f t="shared" si="14"/>
        <v>SM-S931NK</v>
      </c>
      <c r="G34" s="210" t="str">
        <f>VLOOKUP(F34,출고가!C:D,2,0)</f>
        <v>갤럭시S25 (256GB)</v>
      </c>
      <c r="H34" s="123">
        <f t="shared" si="15"/>
        <v>1155000</v>
      </c>
      <c r="I34" s="182" t="s">
        <v>990</v>
      </c>
      <c r="J34" s="183" t="s">
        <v>1524</v>
      </c>
      <c r="K34" s="184">
        <v>350000</v>
      </c>
      <c r="L34" s="184">
        <v>350000</v>
      </c>
      <c r="M34" s="184">
        <v>350000</v>
      </c>
      <c r="O34" s="124"/>
    </row>
    <row r="35" spans="1:15" s="2" customFormat="1" ht="25.05" customHeight="1">
      <c r="A35" s="115" t="s">
        <v>1488</v>
      </c>
      <c r="B35" s="120">
        <f>VLOOKUP($A35,출고가!$C:$E,3,FALSE)</f>
        <v>1353000</v>
      </c>
      <c r="C35" s="120" t="str">
        <f t="shared" si="7"/>
        <v>SM-S936NK베이직</v>
      </c>
      <c r="D35" s="125" t="s">
        <v>381</v>
      </c>
      <c r="E35" s="122" t="s">
        <v>229</v>
      </c>
      <c r="F35" s="210" t="str">
        <f>A35</f>
        <v>SM-S936NK</v>
      </c>
      <c r="G35" s="210" t="str">
        <f>VLOOKUP(F35,출고가!C:D,2,0)</f>
        <v>갤럭시S25+ (256GB)</v>
      </c>
      <c r="H35" s="123">
        <f>B35</f>
        <v>1353000</v>
      </c>
      <c r="I35" s="169" t="s">
        <v>357</v>
      </c>
      <c r="J35" s="170" t="s">
        <v>1521</v>
      </c>
      <c r="K35" s="170">
        <v>580000</v>
      </c>
      <c r="L35" s="170">
        <v>580000</v>
      </c>
      <c r="M35" s="170">
        <v>580000</v>
      </c>
      <c r="O35" s="124"/>
    </row>
    <row r="36" spans="1:15" s="2" customFormat="1" ht="25.05" customHeight="1">
      <c r="A36" s="115" t="s">
        <v>1487</v>
      </c>
      <c r="B36" s="120">
        <f>VLOOKUP($A36,출고가!$C:$E,3,FALSE)</f>
        <v>1353000</v>
      </c>
      <c r="C36" s="120" t="str">
        <f t="shared" si="7"/>
        <v>SM-S936NK심플30G</v>
      </c>
      <c r="D36" s="125" t="s">
        <v>381</v>
      </c>
      <c r="E36" s="122" t="s">
        <v>229</v>
      </c>
      <c r="F36" s="210" t="str">
        <f t="shared" ref="F36:F38" si="16">A36</f>
        <v>SM-S936NK</v>
      </c>
      <c r="G36" s="210" t="str">
        <f>VLOOKUP(F36,출고가!C:D,2,0)</f>
        <v>갤럭시S25+ (256GB)</v>
      </c>
      <c r="H36" s="123">
        <f t="shared" ref="H36:H38" si="17">B36</f>
        <v>1353000</v>
      </c>
      <c r="I36" s="176" t="s">
        <v>988</v>
      </c>
      <c r="J36" s="177" t="s">
        <v>1522</v>
      </c>
      <c r="K36" s="178">
        <v>530000</v>
      </c>
      <c r="L36" s="178">
        <v>530000</v>
      </c>
      <c r="M36" s="178">
        <v>530000</v>
      </c>
      <c r="O36" s="124"/>
    </row>
    <row r="37" spans="1:15" s="2" customFormat="1" ht="25.05" customHeight="1">
      <c r="A37" s="115" t="s">
        <v>1487</v>
      </c>
      <c r="B37" s="120">
        <f>VLOOKUP($A37,출고가!$C:$E,3,FALSE)</f>
        <v>1353000</v>
      </c>
      <c r="C37" s="120" t="str">
        <f t="shared" si="7"/>
        <v>SM-S936NK슬림10G</v>
      </c>
      <c r="D37" s="125" t="s">
        <v>381</v>
      </c>
      <c r="E37" s="122" t="s">
        <v>229</v>
      </c>
      <c r="F37" s="210" t="str">
        <f t="shared" si="16"/>
        <v>SM-S936NK</v>
      </c>
      <c r="G37" s="210" t="str">
        <f>VLOOKUP(F37,출고가!C:D,2,0)</f>
        <v>갤럭시S25+ (256GB)</v>
      </c>
      <c r="H37" s="123">
        <f t="shared" si="17"/>
        <v>1353000</v>
      </c>
      <c r="I37" s="176" t="s">
        <v>992</v>
      </c>
      <c r="J37" s="177" t="s">
        <v>1523</v>
      </c>
      <c r="K37" s="178">
        <v>480000</v>
      </c>
      <c r="L37" s="178">
        <v>480000</v>
      </c>
      <c r="M37" s="178">
        <v>480000</v>
      </c>
      <c r="O37" s="124"/>
    </row>
    <row r="38" spans="1:15" s="2" customFormat="1" ht="25.05" customHeight="1">
      <c r="A38" s="115" t="s">
        <v>1487</v>
      </c>
      <c r="B38" s="120">
        <f>VLOOKUP($A38,출고가!$C:$E,3,FALSE)</f>
        <v>1353000</v>
      </c>
      <c r="C38" s="120" t="str">
        <f t="shared" si="7"/>
        <v>SM-S936NK슬림4G</v>
      </c>
      <c r="D38" s="125" t="s">
        <v>381</v>
      </c>
      <c r="E38" s="122" t="s">
        <v>229</v>
      </c>
      <c r="F38" s="210" t="str">
        <f t="shared" si="16"/>
        <v>SM-S936NK</v>
      </c>
      <c r="G38" s="210" t="str">
        <f>VLOOKUP(F38,출고가!C:D,2,0)</f>
        <v>갤럭시S25+ (256GB)</v>
      </c>
      <c r="H38" s="123">
        <f t="shared" si="17"/>
        <v>1353000</v>
      </c>
      <c r="I38" s="182" t="s">
        <v>990</v>
      </c>
      <c r="J38" s="183" t="s">
        <v>1524</v>
      </c>
      <c r="K38" s="184">
        <v>350000</v>
      </c>
      <c r="L38" s="184">
        <v>350000</v>
      </c>
      <c r="M38" s="184">
        <v>350000</v>
      </c>
      <c r="O38" s="124"/>
    </row>
    <row r="39" spans="1:15" s="2" customFormat="1" ht="25.05" customHeight="1">
      <c r="A39" s="115" t="s">
        <v>1490</v>
      </c>
      <c r="B39" s="120">
        <f>VLOOKUP($A39,출고가!$C:$E,3,FALSE)</f>
        <v>1698400</v>
      </c>
      <c r="C39" s="120" t="str">
        <f t="shared" si="7"/>
        <v>SM-S938NK베이직</v>
      </c>
      <c r="D39" s="125" t="s">
        <v>381</v>
      </c>
      <c r="E39" s="122" t="s">
        <v>229</v>
      </c>
      <c r="F39" s="210" t="str">
        <f>A39</f>
        <v>SM-S938NK</v>
      </c>
      <c r="G39" s="210" t="str">
        <f>VLOOKUP(F39,출고가!C:D,2,0)</f>
        <v>갤럭시S25 울트라 (256GB)</v>
      </c>
      <c r="H39" s="123">
        <f>B39</f>
        <v>1698400</v>
      </c>
      <c r="I39" s="169" t="s">
        <v>357</v>
      </c>
      <c r="J39" s="170" t="s">
        <v>1521</v>
      </c>
      <c r="K39" s="170">
        <v>580000</v>
      </c>
      <c r="L39" s="170">
        <v>580000</v>
      </c>
      <c r="M39" s="170">
        <v>580000</v>
      </c>
      <c r="O39" s="124"/>
    </row>
    <row r="40" spans="1:15" s="2" customFormat="1" ht="25.05" customHeight="1">
      <c r="A40" s="115" t="s">
        <v>1489</v>
      </c>
      <c r="B40" s="120">
        <f>VLOOKUP($A40,출고가!$C:$E,3,FALSE)</f>
        <v>1698400</v>
      </c>
      <c r="C40" s="120" t="str">
        <f t="shared" si="7"/>
        <v>SM-S938NK심플30G</v>
      </c>
      <c r="D40" s="125" t="s">
        <v>381</v>
      </c>
      <c r="E40" s="122" t="s">
        <v>229</v>
      </c>
      <c r="F40" s="210" t="str">
        <f t="shared" ref="F40:F42" si="18">A40</f>
        <v>SM-S938NK</v>
      </c>
      <c r="G40" s="210" t="str">
        <f>VLOOKUP(F40,출고가!C:D,2,0)</f>
        <v>갤럭시S25 울트라 (256GB)</v>
      </c>
      <c r="H40" s="123">
        <f t="shared" ref="H40:H42" si="19">B40</f>
        <v>1698400</v>
      </c>
      <c r="I40" s="176" t="s">
        <v>988</v>
      </c>
      <c r="J40" s="177" t="s">
        <v>1522</v>
      </c>
      <c r="K40" s="178">
        <v>530000</v>
      </c>
      <c r="L40" s="178">
        <v>530000</v>
      </c>
      <c r="M40" s="178">
        <v>530000</v>
      </c>
      <c r="O40" s="124"/>
    </row>
    <row r="41" spans="1:15" s="2" customFormat="1" ht="25.05" customHeight="1">
      <c r="A41" s="115" t="s">
        <v>1489</v>
      </c>
      <c r="B41" s="120">
        <f>VLOOKUP($A41,출고가!$C:$E,3,FALSE)</f>
        <v>1698400</v>
      </c>
      <c r="C41" s="120" t="str">
        <f t="shared" si="7"/>
        <v>SM-S938NK슬림10G</v>
      </c>
      <c r="D41" s="125" t="s">
        <v>381</v>
      </c>
      <c r="E41" s="122" t="s">
        <v>229</v>
      </c>
      <c r="F41" s="210" t="str">
        <f t="shared" si="18"/>
        <v>SM-S938NK</v>
      </c>
      <c r="G41" s="210" t="str">
        <f>VLOOKUP(F41,출고가!C:D,2,0)</f>
        <v>갤럭시S25 울트라 (256GB)</v>
      </c>
      <c r="H41" s="123">
        <f t="shared" si="19"/>
        <v>1698400</v>
      </c>
      <c r="I41" s="176" t="s">
        <v>992</v>
      </c>
      <c r="J41" s="177" t="s">
        <v>1523</v>
      </c>
      <c r="K41" s="178">
        <v>480000</v>
      </c>
      <c r="L41" s="178">
        <v>480000</v>
      </c>
      <c r="M41" s="178">
        <v>480000</v>
      </c>
      <c r="O41" s="124"/>
    </row>
    <row r="42" spans="1:15" s="2" customFormat="1" ht="25.05" customHeight="1">
      <c r="A42" s="115" t="s">
        <v>1489</v>
      </c>
      <c r="B42" s="120">
        <f>VLOOKUP($A42,출고가!$C:$E,3,FALSE)</f>
        <v>1698400</v>
      </c>
      <c r="C42" s="120" t="str">
        <f t="shared" si="7"/>
        <v>SM-S938NK슬림4G</v>
      </c>
      <c r="D42" s="125" t="s">
        <v>381</v>
      </c>
      <c r="E42" s="122" t="s">
        <v>229</v>
      </c>
      <c r="F42" s="210" t="str">
        <f t="shared" si="18"/>
        <v>SM-S938NK</v>
      </c>
      <c r="G42" s="210" t="str">
        <f>VLOOKUP(F42,출고가!C:D,2,0)</f>
        <v>갤럭시S25 울트라 (256GB)</v>
      </c>
      <c r="H42" s="123">
        <f t="shared" si="19"/>
        <v>1698400</v>
      </c>
      <c r="I42" s="182" t="s">
        <v>990</v>
      </c>
      <c r="J42" s="183" t="s">
        <v>1524</v>
      </c>
      <c r="K42" s="184">
        <v>350000</v>
      </c>
      <c r="L42" s="184">
        <v>350000</v>
      </c>
      <c r="M42" s="184">
        <v>350000</v>
      </c>
      <c r="O42" s="124"/>
    </row>
    <row r="43" spans="1:15" s="2" customFormat="1" ht="25.05" customHeight="1">
      <c r="A43" s="115" t="s">
        <v>1267</v>
      </c>
      <c r="B43" s="120">
        <f>VLOOKUP($A43,출고가!$C:$E,3,FALSE)</f>
        <v>1485000</v>
      </c>
      <c r="C43" s="120" t="str">
        <f t="shared" si="7"/>
        <v>SM-F741NK베이직</v>
      </c>
      <c r="D43" s="125" t="s">
        <v>381</v>
      </c>
      <c r="E43" s="122" t="s">
        <v>229</v>
      </c>
      <c r="F43" s="210" t="str">
        <f>A43</f>
        <v>SM-F741NK</v>
      </c>
      <c r="G43" s="210" t="str">
        <f>VLOOKUP(F43,출고가!C:D,2,0)</f>
        <v>갤럭시 Z Flip6</v>
      </c>
      <c r="H43" s="123">
        <f>B43</f>
        <v>1485000</v>
      </c>
      <c r="I43" s="169" t="s">
        <v>357</v>
      </c>
      <c r="J43" s="170" t="s">
        <v>1521</v>
      </c>
      <c r="K43" s="170">
        <v>580000</v>
      </c>
      <c r="L43" s="170">
        <v>580000</v>
      </c>
      <c r="M43" s="170">
        <v>580000</v>
      </c>
      <c r="O43" s="124"/>
    </row>
    <row r="44" spans="1:15" s="2" customFormat="1" ht="25.05" customHeight="1">
      <c r="A44" s="115" t="s">
        <v>1259</v>
      </c>
      <c r="B44" s="120">
        <f>VLOOKUP($A44,출고가!$C:$E,3,FALSE)</f>
        <v>1485000</v>
      </c>
      <c r="C44" s="120" t="str">
        <f t="shared" si="7"/>
        <v>SM-F741NK심플30G</v>
      </c>
      <c r="D44" s="125" t="s">
        <v>381</v>
      </c>
      <c r="E44" s="122" t="s">
        <v>229</v>
      </c>
      <c r="F44" s="210" t="str">
        <f t="shared" ref="F44:F46" si="20">A44</f>
        <v>SM-F741NK</v>
      </c>
      <c r="G44" s="210" t="str">
        <f>VLOOKUP(F44,출고가!C:D,2,0)</f>
        <v>갤럭시 Z Flip6</v>
      </c>
      <c r="H44" s="123">
        <f t="shared" ref="H44:H46" si="21">B44</f>
        <v>1485000</v>
      </c>
      <c r="I44" s="176" t="s">
        <v>988</v>
      </c>
      <c r="J44" s="177" t="s">
        <v>1522</v>
      </c>
      <c r="K44" s="178">
        <v>530000</v>
      </c>
      <c r="L44" s="178">
        <v>530000</v>
      </c>
      <c r="M44" s="178">
        <v>530000</v>
      </c>
      <c r="O44" s="124"/>
    </row>
    <row r="45" spans="1:15" s="2" customFormat="1" ht="25.05" customHeight="1">
      <c r="A45" s="115" t="s">
        <v>1259</v>
      </c>
      <c r="B45" s="120">
        <f>VLOOKUP($A45,출고가!$C:$E,3,FALSE)</f>
        <v>1485000</v>
      </c>
      <c r="C45" s="120" t="str">
        <f t="shared" si="7"/>
        <v>SM-F741NK슬림10G</v>
      </c>
      <c r="D45" s="125" t="s">
        <v>381</v>
      </c>
      <c r="E45" s="122" t="s">
        <v>229</v>
      </c>
      <c r="F45" s="210" t="str">
        <f t="shared" si="20"/>
        <v>SM-F741NK</v>
      </c>
      <c r="G45" s="210" t="str">
        <f>VLOOKUP(F45,출고가!C:D,2,0)</f>
        <v>갤럭시 Z Flip6</v>
      </c>
      <c r="H45" s="123">
        <f t="shared" si="21"/>
        <v>1485000</v>
      </c>
      <c r="I45" s="176" t="s">
        <v>992</v>
      </c>
      <c r="J45" s="177" t="s">
        <v>1523</v>
      </c>
      <c r="K45" s="178">
        <v>480000</v>
      </c>
      <c r="L45" s="178">
        <v>480000</v>
      </c>
      <c r="M45" s="178">
        <v>480000</v>
      </c>
      <c r="O45" s="124"/>
    </row>
    <row r="46" spans="1:15" s="2" customFormat="1" ht="25.05" customHeight="1">
      <c r="A46" s="115" t="s">
        <v>1259</v>
      </c>
      <c r="B46" s="120">
        <f>VLOOKUP($A46,출고가!$C:$E,3,FALSE)</f>
        <v>1485000</v>
      </c>
      <c r="C46" s="120" t="str">
        <f t="shared" si="7"/>
        <v>SM-F741NK슬림4G</v>
      </c>
      <c r="D46" s="125" t="s">
        <v>381</v>
      </c>
      <c r="E46" s="122" t="s">
        <v>229</v>
      </c>
      <c r="F46" s="210" t="str">
        <f t="shared" si="20"/>
        <v>SM-F741NK</v>
      </c>
      <c r="G46" s="210" t="str">
        <f>VLOOKUP(F46,출고가!C:D,2,0)</f>
        <v>갤럭시 Z Flip6</v>
      </c>
      <c r="H46" s="123">
        <f t="shared" si="21"/>
        <v>1485000</v>
      </c>
      <c r="I46" s="182" t="s">
        <v>990</v>
      </c>
      <c r="J46" s="183" t="s">
        <v>1524</v>
      </c>
      <c r="K46" s="184">
        <v>350000</v>
      </c>
      <c r="L46" s="184">
        <v>350000</v>
      </c>
      <c r="M46" s="184">
        <v>350000</v>
      </c>
      <c r="O46" s="124"/>
    </row>
    <row r="47" spans="1:15" s="2" customFormat="1" ht="25.05" customHeight="1">
      <c r="A47" s="115" t="s">
        <v>1268</v>
      </c>
      <c r="B47" s="120">
        <f>VLOOKUP($A47,출고가!$C:$E,3,FALSE)</f>
        <v>2229700</v>
      </c>
      <c r="C47" s="120" t="str">
        <f t="shared" si="7"/>
        <v>SM-F956NK베이직</v>
      </c>
      <c r="D47" s="125" t="s">
        <v>381</v>
      </c>
      <c r="E47" s="122" t="s">
        <v>229</v>
      </c>
      <c r="F47" s="210" t="str">
        <f>A47</f>
        <v>SM-F956NK</v>
      </c>
      <c r="G47" s="210" t="str">
        <f>VLOOKUP(F47,출고가!C:D,2,0)</f>
        <v>갤럭시 Z Fold6</v>
      </c>
      <c r="H47" s="123">
        <f>B47</f>
        <v>2229700</v>
      </c>
      <c r="I47" s="169" t="s">
        <v>357</v>
      </c>
      <c r="J47" s="170" t="s">
        <v>1521</v>
      </c>
      <c r="K47" s="170">
        <v>580000</v>
      </c>
      <c r="L47" s="170">
        <v>580000</v>
      </c>
      <c r="M47" s="170">
        <v>580000</v>
      </c>
      <c r="O47" s="124"/>
    </row>
    <row r="48" spans="1:15" s="2" customFormat="1" ht="25.05" customHeight="1">
      <c r="A48" s="115" t="s">
        <v>1268</v>
      </c>
      <c r="B48" s="120">
        <f>VLOOKUP($A48,출고가!$C:$E,3,FALSE)</f>
        <v>2229700</v>
      </c>
      <c r="C48" s="120" t="str">
        <f t="shared" si="7"/>
        <v>SM-F956NK심플30G</v>
      </c>
      <c r="D48" s="125" t="s">
        <v>381</v>
      </c>
      <c r="E48" s="122" t="s">
        <v>229</v>
      </c>
      <c r="F48" s="210" t="str">
        <f t="shared" ref="F48:F50" si="22">A48</f>
        <v>SM-F956NK</v>
      </c>
      <c r="G48" s="210" t="str">
        <f>VLOOKUP(F48,출고가!C:D,2,0)</f>
        <v>갤럭시 Z Fold6</v>
      </c>
      <c r="H48" s="123">
        <f t="shared" ref="H48:H50" si="23">B48</f>
        <v>2229700</v>
      </c>
      <c r="I48" s="176" t="s">
        <v>988</v>
      </c>
      <c r="J48" s="177" t="s">
        <v>1522</v>
      </c>
      <c r="K48" s="178">
        <v>530000</v>
      </c>
      <c r="L48" s="178">
        <v>530000</v>
      </c>
      <c r="M48" s="178">
        <v>530000</v>
      </c>
      <c r="O48" s="124"/>
    </row>
    <row r="49" spans="1:15" s="2" customFormat="1" ht="25.05" customHeight="1">
      <c r="A49" s="115" t="s">
        <v>1268</v>
      </c>
      <c r="B49" s="120">
        <f>VLOOKUP($A49,출고가!$C:$E,3,FALSE)</f>
        <v>2229700</v>
      </c>
      <c r="C49" s="120" t="str">
        <f t="shared" si="7"/>
        <v>SM-F956NK슬림10G</v>
      </c>
      <c r="D49" s="125" t="s">
        <v>381</v>
      </c>
      <c r="E49" s="122" t="s">
        <v>229</v>
      </c>
      <c r="F49" s="210" t="str">
        <f t="shared" si="22"/>
        <v>SM-F956NK</v>
      </c>
      <c r="G49" s="210" t="str">
        <f>VLOOKUP(F49,출고가!C:D,2,0)</f>
        <v>갤럭시 Z Fold6</v>
      </c>
      <c r="H49" s="123">
        <f t="shared" si="23"/>
        <v>2229700</v>
      </c>
      <c r="I49" s="176" t="s">
        <v>992</v>
      </c>
      <c r="J49" s="177" t="s">
        <v>1523</v>
      </c>
      <c r="K49" s="178">
        <v>480000</v>
      </c>
      <c r="L49" s="178">
        <v>480000</v>
      </c>
      <c r="M49" s="178">
        <v>480000</v>
      </c>
      <c r="O49" s="124"/>
    </row>
    <row r="50" spans="1:15" s="2" customFormat="1" ht="25.05" customHeight="1">
      <c r="A50" s="115" t="s">
        <v>1268</v>
      </c>
      <c r="B50" s="120">
        <f>VLOOKUP($A50,출고가!$C:$E,3,FALSE)</f>
        <v>2229700</v>
      </c>
      <c r="C50" s="120" t="str">
        <f t="shared" si="7"/>
        <v>SM-F956NK슬림4G</v>
      </c>
      <c r="D50" s="125" t="s">
        <v>381</v>
      </c>
      <c r="E50" s="122" t="s">
        <v>229</v>
      </c>
      <c r="F50" s="210" t="str">
        <f t="shared" si="22"/>
        <v>SM-F956NK</v>
      </c>
      <c r="G50" s="210" t="str">
        <f>VLOOKUP(F50,출고가!C:D,2,0)</f>
        <v>갤럭시 Z Fold6</v>
      </c>
      <c r="H50" s="123">
        <f t="shared" si="23"/>
        <v>2229700</v>
      </c>
      <c r="I50" s="182" t="s">
        <v>990</v>
      </c>
      <c r="J50" s="183" t="s">
        <v>1524</v>
      </c>
      <c r="K50" s="184">
        <v>350000</v>
      </c>
      <c r="L50" s="184">
        <v>350000</v>
      </c>
      <c r="M50" s="184">
        <v>350000</v>
      </c>
      <c r="O50" s="124"/>
    </row>
    <row r="51" spans="1:15" s="2" customFormat="1" ht="25.05" customHeight="1">
      <c r="A51" s="115" t="s">
        <v>1623</v>
      </c>
      <c r="B51" s="120">
        <f>VLOOKUP($A51,출고가!$C:$E,3,FALSE)</f>
        <v>946000</v>
      </c>
      <c r="C51" s="120" t="str">
        <f t="shared" si="7"/>
        <v>SM-S731NK베이직</v>
      </c>
      <c r="D51" s="125" t="s">
        <v>381</v>
      </c>
      <c r="E51" s="122" t="s">
        <v>229</v>
      </c>
      <c r="F51" s="210" t="str">
        <f>A51</f>
        <v>SM-S731NK</v>
      </c>
      <c r="G51" s="210" t="str">
        <f>VLOOKUP(F51,출고가!C:D,2,0)</f>
        <v>갤럭시S25FE(256GB)</v>
      </c>
      <c r="H51" s="123">
        <f>B51</f>
        <v>946000</v>
      </c>
      <c r="I51" s="169" t="s">
        <v>357</v>
      </c>
      <c r="J51" s="170" t="s">
        <v>1521</v>
      </c>
      <c r="K51" s="170">
        <v>550000</v>
      </c>
      <c r="L51" s="170">
        <v>550000</v>
      </c>
      <c r="M51" s="170">
        <v>550000</v>
      </c>
      <c r="O51" s="124"/>
    </row>
    <row r="52" spans="1:15" s="2" customFormat="1" ht="25.05" customHeight="1">
      <c r="A52" s="115" t="s">
        <v>1623</v>
      </c>
      <c r="B52" s="120">
        <f>VLOOKUP($A52,출고가!$C:$E,3,FALSE)</f>
        <v>946000</v>
      </c>
      <c r="C52" s="120" t="str">
        <f t="shared" si="7"/>
        <v>SM-S731NK심플30G</v>
      </c>
      <c r="D52" s="125" t="s">
        <v>381</v>
      </c>
      <c r="E52" s="122" t="s">
        <v>229</v>
      </c>
      <c r="F52" s="210" t="str">
        <f t="shared" ref="F52:F54" si="24">A52</f>
        <v>SM-S731NK</v>
      </c>
      <c r="G52" s="210" t="str">
        <f>VLOOKUP(F52,출고가!C:D,2,0)</f>
        <v>갤럭시S25FE(256GB)</v>
      </c>
      <c r="H52" s="123">
        <f t="shared" ref="H52:H54" si="25">B52</f>
        <v>946000</v>
      </c>
      <c r="I52" s="176" t="s">
        <v>988</v>
      </c>
      <c r="J52" s="177" t="s">
        <v>1522</v>
      </c>
      <c r="K52" s="178">
        <v>500000</v>
      </c>
      <c r="L52" s="178">
        <v>500000</v>
      </c>
      <c r="M52" s="178">
        <v>500000</v>
      </c>
      <c r="O52" s="124"/>
    </row>
    <row r="53" spans="1:15" s="2" customFormat="1" ht="25.05" customHeight="1">
      <c r="A53" s="115" t="s">
        <v>1623</v>
      </c>
      <c r="B53" s="120">
        <f>VLOOKUP($A53,출고가!$C:$E,3,FALSE)</f>
        <v>946000</v>
      </c>
      <c r="C53" s="120" t="str">
        <f t="shared" si="7"/>
        <v>SM-S731NK슬림10G</v>
      </c>
      <c r="D53" s="125" t="s">
        <v>381</v>
      </c>
      <c r="E53" s="122" t="s">
        <v>229</v>
      </c>
      <c r="F53" s="210" t="str">
        <f t="shared" si="24"/>
        <v>SM-S731NK</v>
      </c>
      <c r="G53" s="210" t="str">
        <f>VLOOKUP(F53,출고가!C:D,2,0)</f>
        <v>갤럭시S25FE(256GB)</v>
      </c>
      <c r="H53" s="123">
        <f t="shared" si="25"/>
        <v>946000</v>
      </c>
      <c r="I53" s="176" t="s">
        <v>992</v>
      </c>
      <c r="J53" s="177" t="s">
        <v>1523</v>
      </c>
      <c r="K53" s="178">
        <v>450000</v>
      </c>
      <c r="L53" s="178">
        <v>450000</v>
      </c>
      <c r="M53" s="178">
        <v>450000</v>
      </c>
      <c r="O53" s="124"/>
    </row>
    <row r="54" spans="1:15" s="2" customFormat="1" ht="25.05" customHeight="1">
      <c r="A54" s="115" t="s">
        <v>1623</v>
      </c>
      <c r="B54" s="120">
        <f>VLOOKUP($A54,출고가!$C:$E,3,FALSE)</f>
        <v>946000</v>
      </c>
      <c r="C54" s="120" t="str">
        <f t="shared" si="7"/>
        <v>SM-S731NK슬림4G</v>
      </c>
      <c r="D54" s="125" t="s">
        <v>381</v>
      </c>
      <c r="E54" s="122" t="s">
        <v>229</v>
      </c>
      <c r="F54" s="210" t="str">
        <f t="shared" si="24"/>
        <v>SM-S731NK</v>
      </c>
      <c r="G54" s="210" t="str">
        <f>VLOOKUP(F54,출고가!C:D,2,0)</f>
        <v>갤럭시S25FE(256GB)</v>
      </c>
      <c r="H54" s="123">
        <f t="shared" si="25"/>
        <v>946000</v>
      </c>
      <c r="I54" s="182" t="s">
        <v>990</v>
      </c>
      <c r="J54" s="183" t="s">
        <v>1524</v>
      </c>
      <c r="K54" s="184">
        <v>350000</v>
      </c>
      <c r="L54" s="184">
        <v>350000</v>
      </c>
      <c r="M54" s="184">
        <v>350000</v>
      </c>
      <c r="O54" s="124"/>
    </row>
    <row r="55" spans="1:15" s="2" customFormat="1" ht="25.05" customHeight="1">
      <c r="A55" s="115" t="s">
        <v>1541</v>
      </c>
      <c r="B55" s="120">
        <f>VLOOKUP($A55,출고가!$C:$E,3,FALSE)</f>
        <v>499400</v>
      </c>
      <c r="C55" s="120" t="str">
        <f t="shared" si="7"/>
        <v>SM-A366NK베이직</v>
      </c>
      <c r="D55" s="125" t="s">
        <v>381</v>
      </c>
      <c r="E55" s="130" t="s">
        <v>229</v>
      </c>
      <c r="F55" s="213" t="str">
        <f>A55</f>
        <v>SM-A366NK</v>
      </c>
      <c r="G55" s="213" t="str">
        <f>VLOOKUP(F55,출고가!C:D,2,0)</f>
        <v>갤럭시 A36(5G)</v>
      </c>
      <c r="H55" s="131">
        <f>B55</f>
        <v>499400</v>
      </c>
      <c r="I55" s="169" t="s">
        <v>357</v>
      </c>
      <c r="J55" s="170" t="s">
        <v>1521</v>
      </c>
      <c r="K55" s="170">
        <v>550000</v>
      </c>
      <c r="L55" s="170">
        <v>550000</v>
      </c>
      <c r="M55" s="170">
        <v>550000</v>
      </c>
    </row>
    <row r="56" spans="1:15" s="2" customFormat="1" ht="25.05" customHeight="1">
      <c r="A56" s="115" t="s">
        <v>1541</v>
      </c>
      <c r="B56" s="120">
        <f>VLOOKUP($A56,출고가!$C:$E,3,FALSE)</f>
        <v>499400</v>
      </c>
      <c r="C56" s="120" t="str">
        <f t="shared" si="7"/>
        <v>SM-A366NK심플30G</v>
      </c>
      <c r="D56" s="125" t="s">
        <v>381</v>
      </c>
      <c r="E56" s="130" t="s">
        <v>229</v>
      </c>
      <c r="F56" s="213" t="str">
        <f t="shared" ref="F56:F58" si="26">A56</f>
        <v>SM-A366NK</v>
      </c>
      <c r="G56" s="213" t="str">
        <f>VLOOKUP(F56,출고가!C:D,2,0)</f>
        <v>갤럭시 A36(5G)</v>
      </c>
      <c r="H56" s="131">
        <f t="shared" ref="H56:H58" si="27">B56</f>
        <v>499400</v>
      </c>
      <c r="I56" s="176" t="s">
        <v>988</v>
      </c>
      <c r="J56" s="177" t="s">
        <v>1522</v>
      </c>
      <c r="K56" s="178">
        <v>500000</v>
      </c>
      <c r="L56" s="178">
        <v>500000</v>
      </c>
      <c r="M56" s="178">
        <v>500000</v>
      </c>
    </row>
    <row r="57" spans="1:15" s="2" customFormat="1" ht="25.05" customHeight="1">
      <c r="A57" s="115" t="s">
        <v>1541</v>
      </c>
      <c r="B57" s="120">
        <f>VLOOKUP($A57,출고가!$C:$E,3,FALSE)</f>
        <v>499400</v>
      </c>
      <c r="C57" s="120" t="str">
        <f t="shared" si="7"/>
        <v>SM-A366NK슬림10G</v>
      </c>
      <c r="D57" s="125" t="s">
        <v>381</v>
      </c>
      <c r="E57" s="130" t="s">
        <v>229</v>
      </c>
      <c r="F57" s="213" t="str">
        <f t="shared" si="26"/>
        <v>SM-A366NK</v>
      </c>
      <c r="G57" s="213" t="str">
        <f>VLOOKUP(F57,출고가!C:D,2,0)</f>
        <v>갤럭시 A36(5G)</v>
      </c>
      <c r="H57" s="131">
        <f t="shared" si="27"/>
        <v>499400</v>
      </c>
      <c r="I57" s="176" t="s">
        <v>992</v>
      </c>
      <c r="J57" s="177" t="s">
        <v>1523</v>
      </c>
      <c r="K57" s="178">
        <v>450000</v>
      </c>
      <c r="L57" s="178">
        <v>450000</v>
      </c>
      <c r="M57" s="178">
        <v>450000</v>
      </c>
    </row>
    <row r="58" spans="1:15" s="2" customFormat="1" ht="25.05" customHeight="1">
      <c r="A58" s="115" t="s">
        <v>1541</v>
      </c>
      <c r="B58" s="120">
        <f>VLOOKUP($A58,출고가!$C:$E,3,FALSE)</f>
        <v>499400</v>
      </c>
      <c r="C58" s="120" t="str">
        <f t="shared" si="7"/>
        <v>SM-A366NK슬림4G</v>
      </c>
      <c r="D58" s="125" t="s">
        <v>381</v>
      </c>
      <c r="E58" s="130" t="s">
        <v>229</v>
      </c>
      <c r="F58" s="213" t="str">
        <f t="shared" si="26"/>
        <v>SM-A366NK</v>
      </c>
      <c r="G58" s="213" t="str">
        <f>VLOOKUP(F58,출고가!C:D,2,0)</f>
        <v>갤럭시 A36(5G)</v>
      </c>
      <c r="H58" s="131">
        <f t="shared" si="27"/>
        <v>499400</v>
      </c>
      <c r="I58" s="182" t="s">
        <v>990</v>
      </c>
      <c r="J58" s="183" t="s">
        <v>1524</v>
      </c>
      <c r="K58" s="184">
        <v>350000</v>
      </c>
      <c r="L58" s="184">
        <v>350000</v>
      </c>
      <c r="M58" s="184">
        <v>350000</v>
      </c>
    </row>
    <row r="59" spans="1:15" s="2" customFormat="1" ht="25.05" customHeight="1">
      <c r="A59" s="115" t="s">
        <v>1540</v>
      </c>
      <c r="B59" s="120">
        <f>VLOOKUP($A59,출고가!$C:$E,3,FALSE)</f>
        <v>449900</v>
      </c>
      <c r="C59" s="120" t="str">
        <f t="shared" si="7"/>
        <v>SM-M366K베이직</v>
      </c>
      <c r="D59" s="125" t="s">
        <v>381</v>
      </c>
      <c r="E59" s="130" t="s">
        <v>229</v>
      </c>
      <c r="F59" s="213" t="str">
        <f>A59</f>
        <v>SM-M366K</v>
      </c>
      <c r="G59" s="213" t="str">
        <f>VLOOKUP(F59,출고가!C:D,2,0)</f>
        <v>Galaxy Jump4</v>
      </c>
      <c r="H59" s="131">
        <f>B59</f>
        <v>449900</v>
      </c>
      <c r="I59" s="169" t="s">
        <v>357</v>
      </c>
      <c r="J59" s="170" t="s">
        <v>1521</v>
      </c>
      <c r="K59" s="170">
        <v>580000</v>
      </c>
      <c r="L59" s="170">
        <v>580000</v>
      </c>
      <c r="M59" s="170">
        <v>580000</v>
      </c>
    </row>
    <row r="60" spans="1:15" s="2" customFormat="1" ht="25.05" customHeight="1">
      <c r="A60" s="115" t="s">
        <v>1540</v>
      </c>
      <c r="B60" s="120">
        <f>VLOOKUP($A60,출고가!$C:$E,3,FALSE)</f>
        <v>449900</v>
      </c>
      <c r="C60" s="120" t="str">
        <f t="shared" si="7"/>
        <v>SM-M366K심플30G</v>
      </c>
      <c r="D60" s="125" t="s">
        <v>381</v>
      </c>
      <c r="E60" s="130" t="s">
        <v>229</v>
      </c>
      <c r="F60" s="213" t="str">
        <f t="shared" ref="F60:F62" si="28">A60</f>
        <v>SM-M366K</v>
      </c>
      <c r="G60" s="213" t="str">
        <f>VLOOKUP(F60,출고가!C:D,2,0)</f>
        <v>Galaxy Jump4</v>
      </c>
      <c r="H60" s="131">
        <f t="shared" ref="H60:H62" si="29">B60</f>
        <v>449900</v>
      </c>
      <c r="I60" s="176" t="s">
        <v>988</v>
      </c>
      <c r="J60" s="177" t="s">
        <v>1522</v>
      </c>
      <c r="K60" s="178">
        <v>530000</v>
      </c>
      <c r="L60" s="178">
        <v>530000</v>
      </c>
      <c r="M60" s="178">
        <v>530000</v>
      </c>
    </row>
    <row r="61" spans="1:15" s="2" customFormat="1" ht="25.05" customHeight="1">
      <c r="A61" s="115" t="s">
        <v>1540</v>
      </c>
      <c r="B61" s="120">
        <f>VLOOKUP($A61,출고가!$C:$E,3,FALSE)</f>
        <v>449900</v>
      </c>
      <c r="C61" s="120" t="str">
        <f t="shared" si="7"/>
        <v>SM-M366K슬림10G</v>
      </c>
      <c r="D61" s="125" t="s">
        <v>381</v>
      </c>
      <c r="E61" s="130" t="s">
        <v>229</v>
      </c>
      <c r="F61" s="213" t="str">
        <f t="shared" si="28"/>
        <v>SM-M366K</v>
      </c>
      <c r="G61" s="213" t="str">
        <f>VLOOKUP(F61,출고가!C:D,2,0)</f>
        <v>Galaxy Jump4</v>
      </c>
      <c r="H61" s="131">
        <f t="shared" si="29"/>
        <v>449900</v>
      </c>
      <c r="I61" s="176" t="s">
        <v>992</v>
      </c>
      <c r="J61" s="177" t="s">
        <v>1523</v>
      </c>
      <c r="K61" s="178">
        <v>480000</v>
      </c>
      <c r="L61" s="178">
        <v>480000</v>
      </c>
      <c r="M61" s="178">
        <v>480000</v>
      </c>
    </row>
    <row r="62" spans="1:15" s="2" customFormat="1" ht="25.05" customHeight="1">
      <c r="A62" s="115" t="s">
        <v>1540</v>
      </c>
      <c r="B62" s="120">
        <f>VLOOKUP($A62,출고가!$C:$E,3,FALSE)</f>
        <v>449900</v>
      </c>
      <c r="C62" s="120" t="str">
        <f t="shared" si="7"/>
        <v>SM-M366K슬림4G</v>
      </c>
      <c r="D62" s="125" t="s">
        <v>381</v>
      </c>
      <c r="E62" s="130" t="s">
        <v>229</v>
      </c>
      <c r="F62" s="213" t="str">
        <f t="shared" si="28"/>
        <v>SM-M366K</v>
      </c>
      <c r="G62" s="213" t="str">
        <f>VLOOKUP(F62,출고가!C:D,2,0)</f>
        <v>Galaxy Jump4</v>
      </c>
      <c r="H62" s="131">
        <f t="shared" si="29"/>
        <v>449900</v>
      </c>
      <c r="I62" s="182" t="s">
        <v>990</v>
      </c>
      <c r="J62" s="183" t="s">
        <v>1524</v>
      </c>
      <c r="K62" s="184">
        <v>350000</v>
      </c>
      <c r="L62" s="184">
        <v>350000</v>
      </c>
      <c r="M62" s="184">
        <v>350000</v>
      </c>
    </row>
    <row r="63" spans="1:15" s="2" customFormat="1" ht="25.05" customHeight="1">
      <c r="A63" s="115" t="s">
        <v>1651</v>
      </c>
      <c r="B63" s="120">
        <f>VLOOKUP($A63,출고가!$C:$E,3,FALSE)</f>
        <v>319000</v>
      </c>
      <c r="C63" s="120" t="str">
        <f t="shared" si="7"/>
        <v>SM-A175NK데이터ON 프리미엄</v>
      </c>
      <c r="D63" s="125" t="s">
        <v>381</v>
      </c>
      <c r="E63" s="130" t="s">
        <v>193</v>
      </c>
      <c r="F63" s="213" t="str">
        <f>A63</f>
        <v>SM-A175NK</v>
      </c>
      <c r="G63" s="213" t="str">
        <f>VLOOKUP(F63,출고가!C:D,2,0)</f>
        <v>갤럭시 A17</v>
      </c>
      <c r="H63" s="131">
        <f>B63</f>
        <v>319000</v>
      </c>
      <c r="I63" s="188" t="s">
        <v>706</v>
      </c>
      <c r="J63" s="189" t="s">
        <v>1527</v>
      </c>
      <c r="K63" s="190">
        <v>300000</v>
      </c>
      <c r="L63" s="190">
        <v>300000</v>
      </c>
      <c r="M63" s="190">
        <v>300000</v>
      </c>
    </row>
    <row r="64" spans="1:15" s="2" customFormat="1" ht="25.05" hidden="1" customHeight="1">
      <c r="A64" s="115" t="s">
        <v>1479</v>
      </c>
      <c r="B64" s="120">
        <f>VLOOKUP($A64,출고가!$C:$E,3,FALSE)</f>
        <v>319000</v>
      </c>
      <c r="C64" s="120" t="str">
        <f t="shared" si="7"/>
        <v>SM-A165NK</v>
      </c>
      <c r="D64" s="125" t="s">
        <v>381</v>
      </c>
      <c r="E64" s="126"/>
      <c r="F64" s="236"/>
      <c r="G64" s="211"/>
      <c r="H64" s="127"/>
      <c r="I64" s="176"/>
      <c r="J64" s="181"/>
      <c r="K64" s="178"/>
      <c r="L64" s="178"/>
      <c r="M64" s="178"/>
    </row>
    <row r="65" spans="1:15" s="2" customFormat="1" ht="25.05" customHeight="1">
      <c r="A65" s="115" t="s">
        <v>1651</v>
      </c>
      <c r="B65" s="120">
        <f>VLOOKUP($A65,출고가!$C:$E,3,FALSE)</f>
        <v>319000</v>
      </c>
      <c r="C65" s="120" t="str">
        <f t="shared" si="7"/>
        <v>SM-A175NKLTE베이직</v>
      </c>
      <c r="D65" s="125" t="s">
        <v>381</v>
      </c>
      <c r="E65" s="130" t="s">
        <v>193</v>
      </c>
      <c r="F65" s="213" t="str">
        <f>A65</f>
        <v>SM-A175NK</v>
      </c>
      <c r="G65" s="213" t="str">
        <f>VLOOKUP(F65,출고가!C:D,2,0)</f>
        <v>갤럭시 A17</v>
      </c>
      <c r="H65" s="131">
        <f>B65</f>
        <v>319000</v>
      </c>
      <c r="I65" s="182" t="s">
        <v>707</v>
      </c>
      <c r="J65" s="183" t="s">
        <v>1528</v>
      </c>
      <c r="K65" s="184">
        <v>250000</v>
      </c>
      <c r="L65" s="184">
        <v>250000</v>
      </c>
      <c r="M65" s="184">
        <v>250000</v>
      </c>
    </row>
    <row r="66" spans="1:15" s="2" customFormat="1" ht="25.05" customHeight="1">
      <c r="A66" s="115" t="s">
        <v>1702</v>
      </c>
      <c r="B66" s="120">
        <f>VLOOKUP($A66,출고가!$C:$E,3,FALSE)</f>
        <v>349000</v>
      </c>
      <c r="C66" s="120" t="str">
        <f t="shared" ref="C66:C68" si="30">A66&amp;I66</f>
        <v>SM-A175NK-KP데이터ON 프리미엄</v>
      </c>
      <c r="D66" s="125" t="s">
        <v>381</v>
      </c>
      <c r="E66" s="130" t="s">
        <v>193</v>
      </c>
      <c r="F66" s="213" t="str">
        <f>A66</f>
        <v>SM-A175NK-KP</v>
      </c>
      <c r="G66" s="213" t="str">
        <f>VLOOKUP(F66,출고가!C:D,2,0)</f>
        <v>폼폼푸린 키즈폰</v>
      </c>
      <c r="H66" s="131">
        <f>B66</f>
        <v>349000</v>
      </c>
      <c r="I66" s="188" t="s">
        <v>706</v>
      </c>
      <c r="J66" s="189" t="s">
        <v>1527</v>
      </c>
      <c r="K66" s="190">
        <v>270000</v>
      </c>
      <c r="L66" s="190">
        <v>270000</v>
      </c>
      <c r="M66" s="190">
        <v>270000</v>
      </c>
    </row>
    <row r="67" spans="1:15" s="2" customFormat="1" ht="25.05" hidden="1" customHeight="1">
      <c r="A67" s="115" t="s">
        <v>1702</v>
      </c>
      <c r="B67" s="120">
        <f>VLOOKUP($A67,출고가!$C:$E,3,FALSE)</f>
        <v>349000</v>
      </c>
      <c r="C67" s="120" t="str">
        <f t="shared" si="30"/>
        <v>SM-A175NK-KP</v>
      </c>
      <c r="D67" s="125" t="s">
        <v>381</v>
      </c>
      <c r="E67" s="126"/>
      <c r="F67" s="236"/>
      <c r="G67" s="211"/>
      <c r="H67" s="127"/>
      <c r="I67" s="176"/>
      <c r="J67" s="181"/>
      <c r="K67" s="178"/>
      <c r="L67" s="178"/>
      <c r="M67" s="178"/>
    </row>
    <row r="68" spans="1:15" s="2" customFormat="1" ht="25.05" customHeight="1">
      <c r="A68" s="115" t="s">
        <v>1702</v>
      </c>
      <c r="B68" s="120">
        <f>VLOOKUP($A68,출고가!$C:$E,3,FALSE)</f>
        <v>349000</v>
      </c>
      <c r="C68" s="120" t="str">
        <f t="shared" si="30"/>
        <v>SM-A175NK-KPLTE베이직</v>
      </c>
      <c r="D68" s="125" t="s">
        <v>381</v>
      </c>
      <c r="E68" s="130" t="s">
        <v>193</v>
      </c>
      <c r="F68" s="213" t="str">
        <f>A68</f>
        <v>SM-A175NK-KP</v>
      </c>
      <c r="G68" s="213" t="str">
        <f>VLOOKUP(F68,출고가!C:D,2,0)</f>
        <v>폼폼푸린 키즈폰</v>
      </c>
      <c r="H68" s="131">
        <f>B68</f>
        <v>349000</v>
      </c>
      <c r="I68" s="182" t="s">
        <v>707</v>
      </c>
      <c r="J68" s="183" t="s">
        <v>1528</v>
      </c>
      <c r="K68" s="184">
        <v>220000</v>
      </c>
      <c r="L68" s="184">
        <v>220000</v>
      </c>
      <c r="M68" s="184">
        <v>220000</v>
      </c>
    </row>
    <row r="69" spans="1:15" s="2" customFormat="1" ht="25.05" customHeight="1">
      <c r="A69" s="115" t="s">
        <v>1484</v>
      </c>
      <c r="B69" s="120">
        <f>VLOOKUP($A69,출고가!$C:$E,3,FALSE)</f>
        <v>319000</v>
      </c>
      <c r="C69" s="120" t="str">
        <f t="shared" si="7"/>
        <v>SM-A165NK데이터ON 프리미엄</v>
      </c>
      <c r="D69" s="125" t="s">
        <v>381</v>
      </c>
      <c r="E69" s="130" t="s">
        <v>193</v>
      </c>
      <c r="F69" s="213" t="str">
        <f>A69</f>
        <v>SM-A165NK</v>
      </c>
      <c r="G69" s="213" t="str">
        <f>VLOOKUP(F69,출고가!C:D,2,0)</f>
        <v>갤럭시 A16</v>
      </c>
      <c r="H69" s="131">
        <f>B69</f>
        <v>319000</v>
      </c>
      <c r="I69" s="188" t="s">
        <v>706</v>
      </c>
      <c r="J69" s="189" t="s">
        <v>1527</v>
      </c>
      <c r="K69" s="190">
        <v>300000</v>
      </c>
      <c r="L69" s="190">
        <v>300000</v>
      </c>
      <c r="M69" s="190">
        <v>300000</v>
      </c>
    </row>
    <row r="70" spans="1:15" s="2" customFormat="1" ht="25.05" hidden="1" customHeight="1">
      <c r="A70" s="115" t="s">
        <v>1484</v>
      </c>
      <c r="B70" s="120">
        <f>VLOOKUP($A70,출고가!$C:$E,3,FALSE)</f>
        <v>319000</v>
      </c>
      <c r="C70" s="120" t="str">
        <f t="shared" si="7"/>
        <v>SM-A165NK</v>
      </c>
      <c r="D70" s="125" t="s">
        <v>381</v>
      </c>
      <c r="E70" s="126"/>
      <c r="F70" s="236"/>
      <c r="G70" s="211"/>
      <c r="H70" s="127"/>
      <c r="I70" s="176"/>
      <c r="J70" s="181"/>
      <c r="K70" s="178"/>
      <c r="L70" s="178"/>
      <c r="M70" s="178"/>
    </row>
    <row r="71" spans="1:15" s="2" customFormat="1" ht="25.05" customHeight="1">
      <c r="A71" s="115" t="s">
        <v>1484</v>
      </c>
      <c r="B71" s="120">
        <f>VLOOKUP($A71,출고가!$C:$E,3,FALSE)</f>
        <v>319000</v>
      </c>
      <c r="C71" s="120" t="str">
        <f t="shared" si="7"/>
        <v>SM-A165NKLTE베이직</v>
      </c>
      <c r="D71" s="125" t="s">
        <v>381</v>
      </c>
      <c r="E71" s="130" t="s">
        <v>193</v>
      </c>
      <c r="F71" s="213" t="str">
        <f>A71</f>
        <v>SM-A165NK</v>
      </c>
      <c r="G71" s="213" t="str">
        <f>VLOOKUP(F71,출고가!C:D,2,0)</f>
        <v>갤럭시 A16</v>
      </c>
      <c r="H71" s="131">
        <f>B71</f>
        <v>319000</v>
      </c>
      <c r="I71" s="182" t="s">
        <v>707</v>
      </c>
      <c r="J71" s="183" t="s">
        <v>1528</v>
      </c>
      <c r="K71" s="184">
        <v>250000</v>
      </c>
      <c r="L71" s="184">
        <v>250000</v>
      </c>
      <c r="M71" s="184">
        <v>250000</v>
      </c>
    </row>
    <row r="72" spans="1:15" s="2" customFormat="1" ht="25.05" customHeight="1">
      <c r="A72" s="115" t="s">
        <v>1703</v>
      </c>
      <c r="B72" s="120">
        <f>VLOOKUP($A72,출고가!$C:$E,3,FALSE)</f>
        <v>349800</v>
      </c>
      <c r="C72" s="120" t="str">
        <f t="shared" ref="C72:C74" si="31">A72&amp;I72</f>
        <v>SM-A165NK-KP데이터ON 프리미엄</v>
      </c>
      <c r="D72" s="125" t="s">
        <v>381</v>
      </c>
      <c r="E72" s="130" t="s">
        <v>193</v>
      </c>
      <c r="F72" s="213" t="str">
        <f>A72</f>
        <v>SM-A165NK-KP</v>
      </c>
      <c r="G72" s="213" t="str">
        <f>VLOOKUP(F72,출고가!C:D,2,0)</f>
        <v>포차코 키즈폰</v>
      </c>
      <c r="H72" s="131">
        <f>B72</f>
        <v>349800</v>
      </c>
      <c r="I72" s="188" t="s">
        <v>706</v>
      </c>
      <c r="J72" s="189" t="s">
        <v>1527</v>
      </c>
      <c r="K72" s="190">
        <v>270000</v>
      </c>
      <c r="L72" s="190">
        <v>270000</v>
      </c>
      <c r="M72" s="190">
        <v>270000</v>
      </c>
    </row>
    <row r="73" spans="1:15" s="2" customFormat="1" ht="25.05" hidden="1" customHeight="1">
      <c r="A73" s="115" t="s">
        <v>1703</v>
      </c>
      <c r="B73" s="120">
        <f>VLOOKUP($A73,출고가!$C:$E,3,FALSE)</f>
        <v>349800</v>
      </c>
      <c r="C73" s="120" t="str">
        <f t="shared" si="31"/>
        <v>SM-A165NK-KP</v>
      </c>
      <c r="D73" s="125" t="s">
        <v>381</v>
      </c>
      <c r="E73" s="126"/>
      <c r="F73" s="236"/>
      <c r="G73" s="211"/>
      <c r="H73" s="127"/>
      <c r="I73" s="176"/>
      <c r="J73" s="181"/>
      <c r="K73" s="178"/>
      <c r="L73" s="178"/>
      <c r="M73" s="178"/>
    </row>
    <row r="74" spans="1:15" s="2" customFormat="1" ht="25.05" customHeight="1">
      <c r="A74" s="115" t="s">
        <v>1703</v>
      </c>
      <c r="B74" s="120">
        <f>VLOOKUP($A74,출고가!$C:$E,3,FALSE)</f>
        <v>349800</v>
      </c>
      <c r="C74" s="120" t="str">
        <f t="shared" si="31"/>
        <v>SM-A165NK-KPLTE베이직</v>
      </c>
      <c r="D74" s="125" t="s">
        <v>381</v>
      </c>
      <c r="E74" s="130" t="s">
        <v>193</v>
      </c>
      <c r="F74" s="213" t="str">
        <f>A74</f>
        <v>SM-A165NK-KP</v>
      </c>
      <c r="G74" s="213" t="str">
        <f>VLOOKUP(F74,출고가!C:D,2,0)</f>
        <v>포차코 키즈폰</v>
      </c>
      <c r="H74" s="131">
        <f>B74</f>
        <v>349800</v>
      </c>
      <c r="I74" s="182" t="s">
        <v>707</v>
      </c>
      <c r="J74" s="183" t="s">
        <v>1528</v>
      </c>
      <c r="K74" s="184">
        <v>220000</v>
      </c>
      <c r="L74" s="184">
        <v>220000</v>
      </c>
      <c r="M74" s="184">
        <v>220000</v>
      </c>
    </row>
    <row r="75" spans="1:15" s="2" customFormat="1" ht="25.05" customHeight="1">
      <c r="A75" s="115" t="s">
        <v>1484</v>
      </c>
      <c r="B75" s="120">
        <f>VLOOKUP($A75,출고가!$C:$E,3,FALSE)</f>
        <v>319000</v>
      </c>
      <c r="C75" s="120" t="str">
        <f t="shared" si="7"/>
        <v>SM-A165NK데이터ON 프리미엄</v>
      </c>
      <c r="D75" s="125" t="s">
        <v>381</v>
      </c>
      <c r="E75" s="130" t="s">
        <v>193</v>
      </c>
      <c r="F75" s="213"/>
      <c r="G75" s="213" t="s">
        <v>1625</v>
      </c>
      <c r="H75" s="131"/>
      <c r="I75" s="188" t="s">
        <v>706</v>
      </c>
      <c r="J75" s="189" t="s">
        <v>1527</v>
      </c>
      <c r="K75" s="190">
        <v>250000</v>
      </c>
      <c r="L75" s="190">
        <v>250000</v>
      </c>
      <c r="M75" s="190">
        <v>250000</v>
      </c>
    </row>
    <row r="76" spans="1:15" s="2" customFormat="1" ht="25.05" hidden="1" customHeight="1">
      <c r="A76" s="115" t="s">
        <v>1484</v>
      </c>
      <c r="B76" s="120">
        <f>VLOOKUP($A76,출고가!$C:$E,3,FALSE)</f>
        <v>319000</v>
      </c>
      <c r="C76" s="120" t="str">
        <f t="shared" si="7"/>
        <v>SM-A165NK</v>
      </c>
      <c r="D76" s="125" t="s">
        <v>381</v>
      </c>
      <c r="E76" s="126"/>
      <c r="F76" s="236"/>
      <c r="G76" s="211"/>
      <c r="H76" s="127"/>
      <c r="I76" s="176"/>
      <c r="J76" s="181"/>
      <c r="K76" s="178"/>
      <c r="L76" s="178"/>
      <c r="M76" s="178"/>
    </row>
    <row r="77" spans="1:15" s="2" customFormat="1" ht="25.05" customHeight="1">
      <c r="A77" s="115" t="s">
        <v>1484</v>
      </c>
      <c r="B77" s="120">
        <f>VLOOKUP($A77,출고가!$C:$E,3,FALSE)</f>
        <v>319000</v>
      </c>
      <c r="C77" s="120" t="str">
        <f t="shared" si="7"/>
        <v>SM-A165NKLTE베이직</v>
      </c>
      <c r="D77" s="125" t="s">
        <v>381</v>
      </c>
      <c r="E77" s="130" t="s">
        <v>193</v>
      </c>
      <c r="F77" s="213"/>
      <c r="G77" s="213" t="s">
        <v>1625</v>
      </c>
      <c r="H77" s="131"/>
      <c r="I77" s="182" t="s">
        <v>707</v>
      </c>
      <c r="J77" s="183" t="s">
        <v>1528</v>
      </c>
      <c r="K77" s="184">
        <v>200000</v>
      </c>
      <c r="L77" s="184">
        <v>200000</v>
      </c>
      <c r="M77" s="184">
        <v>200000</v>
      </c>
    </row>
    <row r="78" spans="1:15" s="2" customFormat="1" ht="25.05" customHeight="1">
      <c r="A78" s="115" t="s">
        <v>1579</v>
      </c>
      <c r="B78" s="120">
        <f>VLOOKUP($A78,출고가!$C:$E,3,FALSE)</f>
        <v>1287000</v>
      </c>
      <c r="C78" s="120" t="str">
        <f t="shared" si="7"/>
        <v>AIP17-256베이직</v>
      </c>
      <c r="D78" s="121" t="s">
        <v>315</v>
      </c>
      <c r="E78" s="130" t="s">
        <v>229</v>
      </c>
      <c r="F78" s="213" t="str">
        <f>A78</f>
        <v>AIP17-256</v>
      </c>
      <c r="G78" s="213" t="str">
        <f>VLOOKUP(F78,출고가!C:D,2,0)</f>
        <v>iPhone 17 256GB</v>
      </c>
      <c r="H78" s="131">
        <f>B78</f>
        <v>1287000</v>
      </c>
      <c r="I78" s="169" t="s">
        <v>357</v>
      </c>
      <c r="J78" s="170" t="s">
        <v>1521</v>
      </c>
      <c r="K78" s="190">
        <v>420000</v>
      </c>
      <c r="L78" s="190">
        <v>420000</v>
      </c>
      <c r="M78" s="190">
        <v>420000</v>
      </c>
      <c r="O78" s="124"/>
    </row>
    <row r="79" spans="1:15" s="2" customFormat="1" ht="25.05" customHeight="1">
      <c r="A79" s="115" t="s">
        <v>1579</v>
      </c>
      <c r="B79" s="120">
        <f>VLOOKUP($A79,출고가!$C:$E,3,FALSE)</f>
        <v>1287000</v>
      </c>
      <c r="C79" s="120" t="str">
        <f t="shared" si="7"/>
        <v>AIP17-256심플30G</v>
      </c>
      <c r="D79" s="121" t="s">
        <v>315</v>
      </c>
      <c r="E79" s="130" t="s">
        <v>229</v>
      </c>
      <c r="F79" s="213" t="str">
        <f t="shared" ref="F79:F81" si="32">A79</f>
        <v>AIP17-256</v>
      </c>
      <c r="G79" s="213" t="str">
        <f>VLOOKUP(F79,출고가!C:D,2,0)</f>
        <v>iPhone 17 256GB</v>
      </c>
      <c r="H79" s="131">
        <f t="shared" ref="H79:H81" si="33">B79</f>
        <v>1287000</v>
      </c>
      <c r="I79" s="176" t="s">
        <v>988</v>
      </c>
      <c r="J79" s="177" t="s">
        <v>1615</v>
      </c>
      <c r="K79" s="178">
        <v>350000</v>
      </c>
      <c r="L79" s="178">
        <v>350000</v>
      </c>
      <c r="M79" s="178">
        <v>350000</v>
      </c>
      <c r="O79" s="124"/>
    </row>
    <row r="80" spans="1:15" s="2" customFormat="1" ht="25.05" customHeight="1">
      <c r="A80" s="115" t="s">
        <v>1579</v>
      </c>
      <c r="B80" s="120">
        <f>VLOOKUP($A80,출고가!$C:$E,3,FALSE)</f>
        <v>1287000</v>
      </c>
      <c r="C80" s="120" t="str">
        <f t="shared" si="7"/>
        <v>AIP17-256슬림10G</v>
      </c>
      <c r="D80" s="121" t="s">
        <v>315</v>
      </c>
      <c r="E80" s="130" t="s">
        <v>229</v>
      </c>
      <c r="F80" s="213" t="str">
        <f t="shared" si="32"/>
        <v>AIP17-256</v>
      </c>
      <c r="G80" s="213" t="str">
        <f>VLOOKUP(F80,출고가!C:D,2,0)</f>
        <v>iPhone 17 256GB</v>
      </c>
      <c r="H80" s="131">
        <f t="shared" si="33"/>
        <v>1287000</v>
      </c>
      <c r="I80" s="176" t="s">
        <v>992</v>
      </c>
      <c r="J80" s="177" t="s">
        <v>1523</v>
      </c>
      <c r="K80" s="178">
        <v>280000</v>
      </c>
      <c r="L80" s="178">
        <v>280000</v>
      </c>
      <c r="M80" s="178">
        <v>280000</v>
      </c>
      <c r="O80" s="124"/>
    </row>
    <row r="81" spans="1:15" s="2" customFormat="1" ht="24" customHeight="1">
      <c r="A81" s="115" t="s">
        <v>1579</v>
      </c>
      <c r="B81" s="120">
        <f>VLOOKUP($A81,출고가!$C:$E,3,FALSE)</f>
        <v>1287000</v>
      </c>
      <c r="C81" s="120" t="str">
        <f t="shared" ref="C81:C152" si="34">A81&amp;I81</f>
        <v>AIP17-256슬림4G</v>
      </c>
      <c r="D81" s="121" t="s">
        <v>315</v>
      </c>
      <c r="E81" s="130" t="s">
        <v>229</v>
      </c>
      <c r="F81" s="213" t="str">
        <f t="shared" si="32"/>
        <v>AIP17-256</v>
      </c>
      <c r="G81" s="213" t="str">
        <f>VLOOKUP(F81,출고가!C:D,2,0)</f>
        <v>iPhone 17 256GB</v>
      </c>
      <c r="H81" s="131">
        <f t="shared" si="33"/>
        <v>1287000</v>
      </c>
      <c r="I81" s="182" t="s">
        <v>990</v>
      </c>
      <c r="J81" s="183" t="s">
        <v>1524</v>
      </c>
      <c r="K81" s="184">
        <v>230000</v>
      </c>
      <c r="L81" s="184">
        <v>230000</v>
      </c>
      <c r="M81" s="184">
        <v>230000</v>
      </c>
      <c r="O81" s="124"/>
    </row>
    <row r="82" spans="1:15" s="2" customFormat="1" ht="25.05" customHeight="1">
      <c r="A82" s="115" t="s">
        <v>1581</v>
      </c>
      <c r="B82" s="120">
        <f>VLOOKUP($A82,출고가!$C:$E,3,FALSE)</f>
        <v>1584000</v>
      </c>
      <c r="C82" s="120" t="str">
        <f t="shared" si="34"/>
        <v>AIP17-512베이직</v>
      </c>
      <c r="D82" s="121" t="s">
        <v>315</v>
      </c>
      <c r="E82" s="130" t="s">
        <v>229</v>
      </c>
      <c r="F82" s="213" t="str">
        <f>A82</f>
        <v>AIP17-512</v>
      </c>
      <c r="G82" s="213" t="str">
        <f>VLOOKUP(F82,출고가!C:D,2,0)</f>
        <v>iPhone 17 512GB</v>
      </c>
      <c r="H82" s="131">
        <f>B82</f>
        <v>1584000</v>
      </c>
      <c r="I82" s="169" t="s">
        <v>357</v>
      </c>
      <c r="J82" s="170" t="s">
        <v>1521</v>
      </c>
      <c r="K82" s="190">
        <v>420000</v>
      </c>
      <c r="L82" s="190">
        <v>420000</v>
      </c>
      <c r="M82" s="190">
        <v>420000</v>
      </c>
      <c r="O82" s="124"/>
    </row>
    <row r="83" spans="1:15" s="2" customFormat="1" ht="25.05" customHeight="1">
      <c r="A83" s="115" t="s">
        <v>1581</v>
      </c>
      <c r="B83" s="120">
        <f>VLOOKUP($A83,출고가!$C:$E,3,FALSE)</f>
        <v>1584000</v>
      </c>
      <c r="C83" s="120" t="str">
        <f t="shared" si="34"/>
        <v>AIP17-512심플30G</v>
      </c>
      <c r="D83" s="121" t="s">
        <v>315</v>
      </c>
      <c r="E83" s="130" t="s">
        <v>229</v>
      </c>
      <c r="F83" s="213" t="str">
        <f t="shared" ref="F83:F85" si="35">A83</f>
        <v>AIP17-512</v>
      </c>
      <c r="G83" s="213" t="str">
        <f>VLOOKUP(F83,출고가!C:D,2,0)</f>
        <v>iPhone 17 512GB</v>
      </c>
      <c r="H83" s="131">
        <f t="shared" ref="H83:H85" si="36">B83</f>
        <v>1584000</v>
      </c>
      <c r="I83" s="176" t="s">
        <v>988</v>
      </c>
      <c r="J83" s="177" t="s">
        <v>1615</v>
      </c>
      <c r="K83" s="178">
        <v>350000</v>
      </c>
      <c r="L83" s="178">
        <v>350000</v>
      </c>
      <c r="M83" s="178">
        <v>350000</v>
      </c>
      <c r="O83" s="124"/>
    </row>
    <row r="84" spans="1:15" s="2" customFormat="1" ht="25.05" customHeight="1">
      <c r="A84" s="115" t="s">
        <v>1581</v>
      </c>
      <c r="B84" s="120">
        <f>VLOOKUP($A84,출고가!$C:$E,3,FALSE)</f>
        <v>1584000</v>
      </c>
      <c r="C84" s="120" t="str">
        <f t="shared" si="34"/>
        <v>AIP17-512슬림10G</v>
      </c>
      <c r="D84" s="121" t="s">
        <v>315</v>
      </c>
      <c r="E84" s="130" t="s">
        <v>229</v>
      </c>
      <c r="F84" s="213" t="str">
        <f t="shared" si="35"/>
        <v>AIP17-512</v>
      </c>
      <c r="G84" s="213" t="str">
        <f>VLOOKUP(F84,출고가!C:D,2,0)</f>
        <v>iPhone 17 512GB</v>
      </c>
      <c r="H84" s="131">
        <f t="shared" si="36"/>
        <v>1584000</v>
      </c>
      <c r="I84" s="176" t="s">
        <v>992</v>
      </c>
      <c r="J84" s="177" t="s">
        <v>1523</v>
      </c>
      <c r="K84" s="178">
        <v>280000</v>
      </c>
      <c r="L84" s="178">
        <v>280000</v>
      </c>
      <c r="M84" s="178">
        <v>280000</v>
      </c>
      <c r="O84" s="124"/>
    </row>
    <row r="85" spans="1:15" s="2" customFormat="1" ht="25.05" customHeight="1">
      <c r="A85" s="115" t="s">
        <v>1581</v>
      </c>
      <c r="B85" s="120">
        <f>VLOOKUP($A85,출고가!$C:$E,3,FALSE)</f>
        <v>1584000</v>
      </c>
      <c r="C85" s="120" t="str">
        <f t="shared" si="34"/>
        <v>AIP17-512슬림4G</v>
      </c>
      <c r="D85" s="121" t="s">
        <v>315</v>
      </c>
      <c r="E85" s="130" t="s">
        <v>229</v>
      </c>
      <c r="F85" s="213" t="str">
        <f t="shared" si="35"/>
        <v>AIP17-512</v>
      </c>
      <c r="G85" s="213" t="str">
        <f>VLOOKUP(F85,출고가!C:D,2,0)</f>
        <v>iPhone 17 512GB</v>
      </c>
      <c r="H85" s="131">
        <f t="shared" si="36"/>
        <v>1584000</v>
      </c>
      <c r="I85" s="182" t="s">
        <v>990</v>
      </c>
      <c r="J85" s="183" t="s">
        <v>1524</v>
      </c>
      <c r="K85" s="184">
        <v>230000</v>
      </c>
      <c r="L85" s="184">
        <v>230000</v>
      </c>
      <c r="M85" s="184">
        <v>230000</v>
      </c>
      <c r="O85" s="124"/>
    </row>
    <row r="86" spans="1:15" s="2" customFormat="1" ht="25.05" customHeight="1">
      <c r="A86" s="115" t="s">
        <v>1583</v>
      </c>
      <c r="B86" s="120">
        <f>VLOOKUP($A86,출고가!$C:$E,3,FALSE)</f>
        <v>1584000</v>
      </c>
      <c r="C86" s="120" t="str">
        <f t="shared" si="34"/>
        <v>AIPA-256베이직</v>
      </c>
      <c r="D86" s="121" t="s">
        <v>315</v>
      </c>
      <c r="E86" s="130" t="s">
        <v>229</v>
      </c>
      <c r="F86" s="213" t="str">
        <f>A86</f>
        <v>AIPA-256</v>
      </c>
      <c r="G86" s="213" t="str">
        <f>VLOOKUP(F86,출고가!C:D,2,0)</f>
        <v>iPhone Air 256GB</v>
      </c>
      <c r="H86" s="131">
        <f>B86</f>
        <v>1584000</v>
      </c>
      <c r="I86" s="169" t="s">
        <v>357</v>
      </c>
      <c r="J86" s="170" t="s">
        <v>1521</v>
      </c>
      <c r="K86" s="190">
        <v>420000</v>
      </c>
      <c r="L86" s="190">
        <v>420000</v>
      </c>
      <c r="M86" s="190">
        <v>420000</v>
      </c>
      <c r="O86" s="124"/>
    </row>
    <row r="87" spans="1:15" s="2" customFormat="1" ht="25.05" customHeight="1">
      <c r="A87" s="115" t="s">
        <v>1583</v>
      </c>
      <c r="B87" s="120">
        <f>VLOOKUP($A87,출고가!$C:$E,3,FALSE)</f>
        <v>1584000</v>
      </c>
      <c r="C87" s="120" t="str">
        <f t="shared" si="34"/>
        <v>AIPA-256심플30G</v>
      </c>
      <c r="D87" s="121" t="s">
        <v>315</v>
      </c>
      <c r="E87" s="130" t="s">
        <v>229</v>
      </c>
      <c r="F87" s="213" t="str">
        <f t="shared" ref="F87:F89" si="37">A87</f>
        <v>AIPA-256</v>
      </c>
      <c r="G87" s="213" t="str">
        <f>VLOOKUP(F87,출고가!C:D,2,0)</f>
        <v>iPhone Air 256GB</v>
      </c>
      <c r="H87" s="131">
        <f t="shared" ref="H87:H89" si="38">B87</f>
        <v>1584000</v>
      </c>
      <c r="I87" s="176" t="s">
        <v>988</v>
      </c>
      <c r="J87" s="177" t="s">
        <v>1615</v>
      </c>
      <c r="K87" s="178">
        <v>350000</v>
      </c>
      <c r="L87" s="178">
        <v>350000</v>
      </c>
      <c r="M87" s="178">
        <v>350000</v>
      </c>
      <c r="O87" s="124"/>
    </row>
    <row r="88" spans="1:15" s="2" customFormat="1" ht="25.05" customHeight="1">
      <c r="A88" s="115" t="s">
        <v>1583</v>
      </c>
      <c r="B88" s="120">
        <f>VLOOKUP($A88,출고가!$C:$E,3,FALSE)</f>
        <v>1584000</v>
      </c>
      <c r="C88" s="120" t="str">
        <f t="shared" si="34"/>
        <v>AIPA-256슬림10G</v>
      </c>
      <c r="D88" s="121" t="s">
        <v>315</v>
      </c>
      <c r="E88" s="130" t="s">
        <v>229</v>
      </c>
      <c r="F88" s="213" t="str">
        <f t="shared" si="37"/>
        <v>AIPA-256</v>
      </c>
      <c r="G88" s="213" t="str">
        <f>VLOOKUP(F88,출고가!C:D,2,0)</f>
        <v>iPhone Air 256GB</v>
      </c>
      <c r="H88" s="131">
        <f t="shared" si="38"/>
        <v>1584000</v>
      </c>
      <c r="I88" s="176" t="s">
        <v>992</v>
      </c>
      <c r="J88" s="177" t="s">
        <v>1523</v>
      </c>
      <c r="K88" s="178">
        <v>280000</v>
      </c>
      <c r="L88" s="178">
        <v>280000</v>
      </c>
      <c r="M88" s="178">
        <v>280000</v>
      </c>
      <c r="O88" s="124"/>
    </row>
    <row r="89" spans="1:15" s="2" customFormat="1" ht="25.05" customHeight="1">
      <c r="A89" s="115" t="s">
        <v>1583</v>
      </c>
      <c r="B89" s="120">
        <f>VLOOKUP($A89,출고가!$C:$E,3,FALSE)</f>
        <v>1584000</v>
      </c>
      <c r="C89" s="120" t="str">
        <f t="shared" si="34"/>
        <v>AIPA-256슬림4G</v>
      </c>
      <c r="D89" s="121" t="s">
        <v>315</v>
      </c>
      <c r="E89" s="130" t="s">
        <v>229</v>
      </c>
      <c r="F89" s="213" t="str">
        <f t="shared" si="37"/>
        <v>AIPA-256</v>
      </c>
      <c r="G89" s="213" t="str">
        <f>VLOOKUP(F89,출고가!C:D,2,0)</f>
        <v>iPhone Air 256GB</v>
      </c>
      <c r="H89" s="131">
        <f t="shared" si="38"/>
        <v>1584000</v>
      </c>
      <c r="I89" s="182" t="s">
        <v>990</v>
      </c>
      <c r="J89" s="183" t="s">
        <v>1524</v>
      </c>
      <c r="K89" s="184">
        <v>230000</v>
      </c>
      <c r="L89" s="184">
        <v>230000</v>
      </c>
      <c r="M89" s="184">
        <v>230000</v>
      </c>
      <c r="O89" s="124"/>
    </row>
    <row r="90" spans="1:15" s="2" customFormat="1" ht="25.05" customHeight="1">
      <c r="A90" s="115" t="s">
        <v>1585</v>
      </c>
      <c r="B90" s="120">
        <f>VLOOKUP($A90,출고가!$C:$E,3,FALSE)</f>
        <v>1881000</v>
      </c>
      <c r="C90" s="120" t="str">
        <f t="shared" si="34"/>
        <v>AIPA-512베이직</v>
      </c>
      <c r="D90" s="121" t="s">
        <v>315</v>
      </c>
      <c r="E90" s="130" t="s">
        <v>229</v>
      </c>
      <c r="F90" s="213" t="str">
        <f>A90</f>
        <v>AIPA-512</v>
      </c>
      <c r="G90" s="213" t="str">
        <f>VLOOKUP(F90,출고가!C:D,2,0)</f>
        <v>iPhone Air 512GB</v>
      </c>
      <c r="H90" s="131">
        <f>B90</f>
        <v>1881000</v>
      </c>
      <c r="I90" s="169" t="s">
        <v>357</v>
      </c>
      <c r="J90" s="170" t="s">
        <v>1521</v>
      </c>
      <c r="K90" s="190">
        <v>420000</v>
      </c>
      <c r="L90" s="190">
        <v>420000</v>
      </c>
      <c r="M90" s="190">
        <v>420000</v>
      </c>
      <c r="O90" s="124"/>
    </row>
    <row r="91" spans="1:15" s="2" customFormat="1" ht="25.05" customHeight="1">
      <c r="A91" s="115" t="s">
        <v>1585</v>
      </c>
      <c r="B91" s="120">
        <f>VLOOKUP($A91,출고가!$C:$E,3,FALSE)</f>
        <v>1881000</v>
      </c>
      <c r="C91" s="120" t="str">
        <f t="shared" si="34"/>
        <v>AIPA-512심플30G</v>
      </c>
      <c r="D91" s="121" t="s">
        <v>315</v>
      </c>
      <c r="E91" s="130" t="s">
        <v>229</v>
      </c>
      <c r="F91" s="213" t="str">
        <f t="shared" ref="F91:F93" si="39">A91</f>
        <v>AIPA-512</v>
      </c>
      <c r="G91" s="213" t="str">
        <f>VLOOKUP(F91,출고가!C:D,2,0)</f>
        <v>iPhone Air 512GB</v>
      </c>
      <c r="H91" s="131">
        <f t="shared" ref="H91:H93" si="40">B91</f>
        <v>1881000</v>
      </c>
      <c r="I91" s="176" t="s">
        <v>988</v>
      </c>
      <c r="J91" s="177" t="s">
        <v>1615</v>
      </c>
      <c r="K91" s="178">
        <v>350000</v>
      </c>
      <c r="L91" s="178">
        <v>350000</v>
      </c>
      <c r="M91" s="178">
        <v>350000</v>
      </c>
      <c r="O91" s="124"/>
    </row>
    <row r="92" spans="1:15" s="2" customFormat="1" ht="25.05" customHeight="1">
      <c r="A92" s="115" t="s">
        <v>1585</v>
      </c>
      <c r="B92" s="120">
        <f>VLOOKUP($A92,출고가!$C:$E,3,FALSE)</f>
        <v>1881000</v>
      </c>
      <c r="C92" s="120" t="str">
        <f t="shared" si="34"/>
        <v>AIPA-512슬림10G</v>
      </c>
      <c r="D92" s="121" t="s">
        <v>315</v>
      </c>
      <c r="E92" s="130" t="s">
        <v>229</v>
      </c>
      <c r="F92" s="213" t="str">
        <f t="shared" si="39"/>
        <v>AIPA-512</v>
      </c>
      <c r="G92" s="213" t="str">
        <f>VLOOKUP(F92,출고가!C:D,2,0)</f>
        <v>iPhone Air 512GB</v>
      </c>
      <c r="H92" s="131">
        <f t="shared" si="40"/>
        <v>1881000</v>
      </c>
      <c r="I92" s="176" t="s">
        <v>992</v>
      </c>
      <c r="J92" s="177" t="s">
        <v>1523</v>
      </c>
      <c r="K92" s="178">
        <v>280000</v>
      </c>
      <c r="L92" s="178">
        <v>280000</v>
      </c>
      <c r="M92" s="178">
        <v>280000</v>
      </c>
      <c r="O92" s="124"/>
    </row>
    <row r="93" spans="1:15" s="2" customFormat="1" ht="25.05" customHeight="1">
      <c r="A93" s="115" t="s">
        <v>1585</v>
      </c>
      <c r="B93" s="120">
        <f>VLOOKUP($A93,출고가!$C:$E,3,FALSE)</f>
        <v>1881000</v>
      </c>
      <c r="C93" s="120" t="str">
        <f t="shared" si="34"/>
        <v>AIPA-512슬림4G</v>
      </c>
      <c r="D93" s="121" t="s">
        <v>315</v>
      </c>
      <c r="E93" s="130" t="s">
        <v>229</v>
      </c>
      <c r="F93" s="213" t="str">
        <f t="shared" si="39"/>
        <v>AIPA-512</v>
      </c>
      <c r="G93" s="213" t="str">
        <f>VLOOKUP(F93,출고가!C:D,2,0)</f>
        <v>iPhone Air 512GB</v>
      </c>
      <c r="H93" s="131">
        <f t="shared" si="40"/>
        <v>1881000</v>
      </c>
      <c r="I93" s="182" t="s">
        <v>990</v>
      </c>
      <c r="J93" s="183" t="s">
        <v>1524</v>
      </c>
      <c r="K93" s="184">
        <v>230000</v>
      </c>
      <c r="L93" s="184">
        <v>230000</v>
      </c>
      <c r="M93" s="184">
        <v>230000</v>
      </c>
      <c r="O93" s="124"/>
    </row>
    <row r="94" spans="1:15" s="2" customFormat="1" ht="25.05" customHeight="1">
      <c r="A94" s="115" t="s">
        <v>1594</v>
      </c>
      <c r="B94" s="120">
        <f>VLOOKUP($A94,출고가!$C:$E,3,FALSE)</f>
        <v>1782000</v>
      </c>
      <c r="C94" s="120" t="str">
        <f t="shared" si="34"/>
        <v>AIP17P-256베이직</v>
      </c>
      <c r="D94" s="121" t="s">
        <v>315</v>
      </c>
      <c r="E94" s="130" t="s">
        <v>229</v>
      </c>
      <c r="F94" s="213" t="str">
        <f>A94</f>
        <v>AIP17P-256</v>
      </c>
      <c r="G94" s="213" t="str">
        <f>VLOOKUP(F94,출고가!C:D,2,0)</f>
        <v>iPhone 17 Pro 256GB</v>
      </c>
      <c r="H94" s="131">
        <f>B94</f>
        <v>1782000</v>
      </c>
      <c r="I94" s="169" t="s">
        <v>357</v>
      </c>
      <c r="J94" s="170" t="s">
        <v>1521</v>
      </c>
      <c r="K94" s="190">
        <v>420000</v>
      </c>
      <c r="L94" s="190">
        <v>420000</v>
      </c>
      <c r="M94" s="190">
        <v>420000</v>
      </c>
      <c r="O94" s="124"/>
    </row>
    <row r="95" spans="1:15" s="2" customFormat="1" ht="25.05" customHeight="1">
      <c r="A95" s="115" t="s">
        <v>1594</v>
      </c>
      <c r="B95" s="120">
        <f>VLOOKUP($A95,출고가!$C:$E,3,FALSE)</f>
        <v>1782000</v>
      </c>
      <c r="C95" s="120" t="str">
        <f t="shared" si="34"/>
        <v>AIP17P-256심플30G</v>
      </c>
      <c r="D95" s="121" t="s">
        <v>315</v>
      </c>
      <c r="E95" s="130" t="s">
        <v>229</v>
      </c>
      <c r="F95" s="213" t="str">
        <f t="shared" ref="F95:F97" si="41">A95</f>
        <v>AIP17P-256</v>
      </c>
      <c r="G95" s="213" t="str">
        <f>VLOOKUP(F95,출고가!C:D,2,0)</f>
        <v>iPhone 17 Pro 256GB</v>
      </c>
      <c r="H95" s="131">
        <f t="shared" ref="H95:H97" si="42">B95</f>
        <v>1782000</v>
      </c>
      <c r="I95" s="176" t="s">
        <v>988</v>
      </c>
      <c r="J95" s="177" t="s">
        <v>1615</v>
      </c>
      <c r="K95" s="178">
        <v>350000</v>
      </c>
      <c r="L95" s="178">
        <v>350000</v>
      </c>
      <c r="M95" s="178">
        <v>350000</v>
      </c>
      <c r="O95" s="124"/>
    </row>
    <row r="96" spans="1:15" s="2" customFormat="1" ht="25.05" customHeight="1">
      <c r="A96" s="115" t="s">
        <v>1594</v>
      </c>
      <c r="B96" s="120">
        <f>VLOOKUP($A96,출고가!$C:$E,3,FALSE)</f>
        <v>1782000</v>
      </c>
      <c r="C96" s="120" t="str">
        <f t="shared" si="34"/>
        <v>AIP17P-256슬림10G</v>
      </c>
      <c r="D96" s="121" t="s">
        <v>315</v>
      </c>
      <c r="E96" s="130" t="s">
        <v>229</v>
      </c>
      <c r="F96" s="213" t="str">
        <f t="shared" si="41"/>
        <v>AIP17P-256</v>
      </c>
      <c r="G96" s="213" t="str">
        <f>VLOOKUP(F96,출고가!C:D,2,0)</f>
        <v>iPhone 17 Pro 256GB</v>
      </c>
      <c r="H96" s="131">
        <f t="shared" si="42"/>
        <v>1782000</v>
      </c>
      <c r="I96" s="176" t="s">
        <v>992</v>
      </c>
      <c r="J96" s="177" t="s">
        <v>1523</v>
      </c>
      <c r="K96" s="178">
        <v>280000</v>
      </c>
      <c r="L96" s="178">
        <v>280000</v>
      </c>
      <c r="M96" s="178">
        <v>280000</v>
      </c>
      <c r="O96" s="124"/>
    </row>
    <row r="97" spans="1:15" s="2" customFormat="1" ht="25.05" customHeight="1">
      <c r="A97" s="115" t="s">
        <v>1594</v>
      </c>
      <c r="B97" s="120">
        <f>VLOOKUP($A97,출고가!$C:$E,3,FALSE)</f>
        <v>1782000</v>
      </c>
      <c r="C97" s="120" t="str">
        <f t="shared" si="34"/>
        <v>AIP17P-256슬림4G</v>
      </c>
      <c r="D97" s="121" t="s">
        <v>315</v>
      </c>
      <c r="E97" s="130" t="s">
        <v>229</v>
      </c>
      <c r="F97" s="213" t="str">
        <f t="shared" si="41"/>
        <v>AIP17P-256</v>
      </c>
      <c r="G97" s="213" t="str">
        <f>VLOOKUP(F97,출고가!C:D,2,0)</f>
        <v>iPhone 17 Pro 256GB</v>
      </c>
      <c r="H97" s="131">
        <f t="shared" si="42"/>
        <v>1782000</v>
      </c>
      <c r="I97" s="182" t="s">
        <v>990</v>
      </c>
      <c r="J97" s="183" t="s">
        <v>1524</v>
      </c>
      <c r="K97" s="184">
        <v>230000</v>
      </c>
      <c r="L97" s="184">
        <v>230000</v>
      </c>
      <c r="M97" s="184">
        <v>230000</v>
      </c>
      <c r="O97" s="124"/>
    </row>
    <row r="98" spans="1:15" s="2" customFormat="1" ht="25.05" customHeight="1">
      <c r="A98" s="115" t="s">
        <v>1596</v>
      </c>
      <c r="B98" s="120">
        <f>VLOOKUP($A98,출고가!$C:$E,3,FALSE)</f>
        <v>2090000</v>
      </c>
      <c r="C98" s="120" t="str">
        <f t="shared" si="34"/>
        <v>AIP17P-512베이직</v>
      </c>
      <c r="D98" s="121" t="s">
        <v>315</v>
      </c>
      <c r="E98" s="130" t="s">
        <v>229</v>
      </c>
      <c r="F98" s="213" t="str">
        <f>A98</f>
        <v>AIP17P-512</v>
      </c>
      <c r="G98" s="213" t="str">
        <f>VLOOKUP(F98,출고가!C:D,2,0)</f>
        <v>iPhone 17 Pro 512GB</v>
      </c>
      <c r="H98" s="131">
        <f>B98</f>
        <v>2090000</v>
      </c>
      <c r="I98" s="169" t="s">
        <v>357</v>
      </c>
      <c r="J98" s="170" t="s">
        <v>1521</v>
      </c>
      <c r="K98" s="190">
        <v>420000</v>
      </c>
      <c r="L98" s="190">
        <v>420000</v>
      </c>
      <c r="M98" s="190">
        <v>420000</v>
      </c>
      <c r="O98" s="124"/>
    </row>
    <row r="99" spans="1:15" s="2" customFormat="1" ht="25.05" customHeight="1">
      <c r="A99" s="115" t="s">
        <v>1596</v>
      </c>
      <c r="B99" s="120">
        <f>VLOOKUP($A99,출고가!$C:$E,3,FALSE)</f>
        <v>2090000</v>
      </c>
      <c r="C99" s="120" t="str">
        <f t="shared" si="34"/>
        <v>AIP17P-512심플30G</v>
      </c>
      <c r="D99" s="121" t="s">
        <v>315</v>
      </c>
      <c r="E99" s="130" t="s">
        <v>229</v>
      </c>
      <c r="F99" s="213" t="str">
        <f t="shared" ref="F99:F101" si="43">A99</f>
        <v>AIP17P-512</v>
      </c>
      <c r="G99" s="213" t="str">
        <f>VLOOKUP(F99,출고가!C:D,2,0)</f>
        <v>iPhone 17 Pro 512GB</v>
      </c>
      <c r="H99" s="131">
        <f t="shared" ref="H99:H101" si="44">B99</f>
        <v>2090000</v>
      </c>
      <c r="I99" s="176" t="s">
        <v>988</v>
      </c>
      <c r="J99" s="177" t="s">
        <v>1615</v>
      </c>
      <c r="K99" s="178">
        <v>350000</v>
      </c>
      <c r="L99" s="178">
        <v>350000</v>
      </c>
      <c r="M99" s="178">
        <v>350000</v>
      </c>
      <c r="O99" s="124"/>
    </row>
    <row r="100" spans="1:15" s="2" customFormat="1" ht="25.05" customHeight="1">
      <c r="A100" s="115" t="s">
        <v>1596</v>
      </c>
      <c r="B100" s="120">
        <f>VLOOKUP($A100,출고가!$C:$E,3,FALSE)</f>
        <v>2090000</v>
      </c>
      <c r="C100" s="120" t="str">
        <f t="shared" si="34"/>
        <v>AIP17P-512슬림10G</v>
      </c>
      <c r="D100" s="121" t="s">
        <v>315</v>
      </c>
      <c r="E100" s="130" t="s">
        <v>229</v>
      </c>
      <c r="F100" s="213" t="str">
        <f t="shared" si="43"/>
        <v>AIP17P-512</v>
      </c>
      <c r="G100" s="213" t="str">
        <f>VLOOKUP(F100,출고가!C:D,2,0)</f>
        <v>iPhone 17 Pro 512GB</v>
      </c>
      <c r="H100" s="131">
        <f t="shared" si="44"/>
        <v>2090000</v>
      </c>
      <c r="I100" s="176" t="s">
        <v>992</v>
      </c>
      <c r="J100" s="177" t="s">
        <v>1523</v>
      </c>
      <c r="K100" s="178">
        <v>280000</v>
      </c>
      <c r="L100" s="178">
        <v>280000</v>
      </c>
      <c r="M100" s="178">
        <v>280000</v>
      </c>
      <c r="O100" s="124"/>
    </row>
    <row r="101" spans="1:15" s="2" customFormat="1" ht="25.05" customHeight="1">
      <c r="A101" s="115" t="s">
        <v>1596</v>
      </c>
      <c r="B101" s="120">
        <f>VLOOKUP($A101,출고가!$C:$E,3,FALSE)</f>
        <v>2090000</v>
      </c>
      <c r="C101" s="120" t="str">
        <f t="shared" si="34"/>
        <v>AIP17P-512슬림4G</v>
      </c>
      <c r="D101" s="121" t="s">
        <v>315</v>
      </c>
      <c r="E101" s="130" t="s">
        <v>229</v>
      </c>
      <c r="F101" s="213" t="str">
        <f t="shared" si="43"/>
        <v>AIP17P-512</v>
      </c>
      <c r="G101" s="213" t="str">
        <f>VLOOKUP(F101,출고가!C:D,2,0)</f>
        <v>iPhone 17 Pro 512GB</v>
      </c>
      <c r="H101" s="131">
        <f t="shared" si="44"/>
        <v>2090000</v>
      </c>
      <c r="I101" s="182" t="s">
        <v>990</v>
      </c>
      <c r="J101" s="183" t="s">
        <v>1524</v>
      </c>
      <c r="K101" s="184">
        <v>230000</v>
      </c>
      <c r="L101" s="184">
        <v>230000</v>
      </c>
      <c r="M101" s="184">
        <v>230000</v>
      </c>
      <c r="O101" s="124"/>
    </row>
    <row r="102" spans="1:15" s="2" customFormat="1" ht="25.05" customHeight="1">
      <c r="A102" s="115" t="s">
        <v>1607</v>
      </c>
      <c r="B102" s="120">
        <f>VLOOKUP($A102,출고가!$C:$E,3,FALSE)</f>
        <v>1980000</v>
      </c>
      <c r="C102" s="120" t="str">
        <f t="shared" si="34"/>
        <v>AIP17PM-256베이직</v>
      </c>
      <c r="D102" s="121" t="s">
        <v>315</v>
      </c>
      <c r="E102" s="130" t="s">
        <v>229</v>
      </c>
      <c r="F102" s="213" t="str">
        <f>A102</f>
        <v>AIP17PM-256</v>
      </c>
      <c r="G102" s="213" t="str">
        <f>VLOOKUP(F102,출고가!C:D,2,0)</f>
        <v>iPhone 17 Pro Max 256GB</v>
      </c>
      <c r="H102" s="131">
        <f>B102</f>
        <v>1980000</v>
      </c>
      <c r="I102" s="169" t="s">
        <v>357</v>
      </c>
      <c r="J102" s="170" t="s">
        <v>1521</v>
      </c>
      <c r="K102" s="190">
        <v>420000</v>
      </c>
      <c r="L102" s="190">
        <v>420000</v>
      </c>
      <c r="M102" s="190">
        <v>420000</v>
      </c>
      <c r="O102" s="124"/>
    </row>
    <row r="103" spans="1:15" s="2" customFormat="1" ht="25.05" customHeight="1">
      <c r="A103" s="115" t="s">
        <v>1607</v>
      </c>
      <c r="B103" s="120">
        <f>VLOOKUP($A103,출고가!$C:$E,3,FALSE)</f>
        <v>1980000</v>
      </c>
      <c r="C103" s="120" t="str">
        <f t="shared" si="34"/>
        <v>AIP17PM-256심플30G</v>
      </c>
      <c r="D103" s="121" t="s">
        <v>315</v>
      </c>
      <c r="E103" s="130" t="s">
        <v>229</v>
      </c>
      <c r="F103" s="213" t="str">
        <f t="shared" ref="F103:F105" si="45">A103</f>
        <v>AIP17PM-256</v>
      </c>
      <c r="G103" s="213" t="str">
        <f>VLOOKUP(F103,출고가!C:D,2,0)</f>
        <v>iPhone 17 Pro Max 256GB</v>
      </c>
      <c r="H103" s="131">
        <f t="shared" ref="H103:H105" si="46">B103</f>
        <v>1980000</v>
      </c>
      <c r="I103" s="176" t="s">
        <v>988</v>
      </c>
      <c r="J103" s="177" t="s">
        <v>1615</v>
      </c>
      <c r="K103" s="178">
        <v>350000</v>
      </c>
      <c r="L103" s="178">
        <v>350000</v>
      </c>
      <c r="M103" s="178">
        <v>350000</v>
      </c>
      <c r="O103" s="124"/>
    </row>
    <row r="104" spans="1:15" s="2" customFormat="1" ht="25.05" customHeight="1">
      <c r="A104" s="115" t="s">
        <v>1607</v>
      </c>
      <c r="B104" s="120">
        <f>VLOOKUP($A104,출고가!$C:$E,3,FALSE)</f>
        <v>1980000</v>
      </c>
      <c r="C104" s="120" t="str">
        <f t="shared" si="34"/>
        <v>AIP17PM-256슬림10G</v>
      </c>
      <c r="D104" s="121" t="s">
        <v>315</v>
      </c>
      <c r="E104" s="130" t="s">
        <v>229</v>
      </c>
      <c r="F104" s="213" t="str">
        <f t="shared" si="45"/>
        <v>AIP17PM-256</v>
      </c>
      <c r="G104" s="213" t="str">
        <f>VLOOKUP(F104,출고가!C:D,2,0)</f>
        <v>iPhone 17 Pro Max 256GB</v>
      </c>
      <c r="H104" s="131">
        <f t="shared" si="46"/>
        <v>1980000</v>
      </c>
      <c r="I104" s="176" t="s">
        <v>992</v>
      </c>
      <c r="J104" s="177" t="s">
        <v>1523</v>
      </c>
      <c r="K104" s="178">
        <v>280000</v>
      </c>
      <c r="L104" s="178">
        <v>280000</v>
      </c>
      <c r="M104" s="178">
        <v>280000</v>
      </c>
      <c r="O104" s="124"/>
    </row>
    <row r="105" spans="1:15" s="2" customFormat="1" ht="25.05" customHeight="1">
      <c r="A105" s="115" t="s">
        <v>1607</v>
      </c>
      <c r="B105" s="120">
        <f>VLOOKUP($A105,출고가!$C:$E,3,FALSE)</f>
        <v>1980000</v>
      </c>
      <c r="C105" s="120" t="str">
        <f t="shared" si="34"/>
        <v>AIP17PM-256슬림4G</v>
      </c>
      <c r="D105" s="121" t="s">
        <v>315</v>
      </c>
      <c r="E105" s="130" t="s">
        <v>229</v>
      </c>
      <c r="F105" s="213" t="str">
        <f t="shared" si="45"/>
        <v>AIP17PM-256</v>
      </c>
      <c r="G105" s="213" t="str">
        <f>VLOOKUP(F105,출고가!C:D,2,0)</f>
        <v>iPhone 17 Pro Max 256GB</v>
      </c>
      <c r="H105" s="131">
        <f t="shared" si="46"/>
        <v>1980000</v>
      </c>
      <c r="I105" s="182" t="s">
        <v>990</v>
      </c>
      <c r="J105" s="183" t="s">
        <v>1524</v>
      </c>
      <c r="K105" s="184">
        <v>230000</v>
      </c>
      <c r="L105" s="184">
        <v>230000</v>
      </c>
      <c r="M105" s="184">
        <v>230000</v>
      </c>
      <c r="O105" s="124"/>
    </row>
    <row r="106" spans="1:15" s="2" customFormat="1" ht="25.05" customHeight="1">
      <c r="A106" s="115" t="s">
        <v>1609</v>
      </c>
      <c r="B106" s="120">
        <f>VLOOKUP($A106,출고가!$C:$E,3,FALSE)</f>
        <v>2288000</v>
      </c>
      <c r="C106" s="120" t="str">
        <f t="shared" si="34"/>
        <v>AIP17PM-512베이직</v>
      </c>
      <c r="D106" s="121" t="s">
        <v>315</v>
      </c>
      <c r="E106" s="130" t="s">
        <v>229</v>
      </c>
      <c r="F106" s="213" t="str">
        <f>A106</f>
        <v>AIP17PM-512</v>
      </c>
      <c r="G106" s="213" t="str">
        <f>VLOOKUP(F106,출고가!C:D,2,0)</f>
        <v>iPhone 17 Pro Max 512GB</v>
      </c>
      <c r="H106" s="131">
        <f>B106</f>
        <v>2288000</v>
      </c>
      <c r="I106" s="169" t="s">
        <v>357</v>
      </c>
      <c r="J106" s="170" t="s">
        <v>1521</v>
      </c>
      <c r="K106" s="190">
        <v>420000</v>
      </c>
      <c r="L106" s="190">
        <v>420000</v>
      </c>
      <c r="M106" s="190">
        <v>420000</v>
      </c>
      <c r="O106" s="124"/>
    </row>
    <row r="107" spans="1:15" s="2" customFormat="1" ht="25.05" customHeight="1">
      <c r="A107" s="115" t="s">
        <v>1609</v>
      </c>
      <c r="B107" s="120">
        <f>VLOOKUP($A107,출고가!$C:$E,3,FALSE)</f>
        <v>2288000</v>
      </c>
      <c r="C107" s="120" t="str">
        <f t="shared" si="34"/>
        <v>AIP17PM-512심플30G</v>
      </c>
      <c r="D107" s="121" t="s">
        <v>315</v>
      </c>
      <c r="E107" s="130" t="s">
        <v>229</v>
      </c>
      <c r="F107" s="213" t="str">
        <f t="shared" ref="F107:F109" si="47">A107</f>
        <v>AIP17PM-512</v>
      </c>
      <c r="G107" s="213" t="str">
        <f>VLOOKUP(F107,출고가!C:D,2,0)</f>
        <v>iPhone 17 Pro Max 512GB</v>
      </c>
      <c r="H107" s="131">
        <f t="shared" ref="H107:H109" si="48">B107</f>
        <v>2288000</v>
      </c>
      <c r="I107" s="176" t="s">
        <v>988</v>
      </c>
      <c r="J107" s="177" t="s">
        <v>1615</v>
      </c>
      <c r="K107" s="178">
        <v>350000</v>
      </c>
      <c r="L107" s="178">
        <v>350000</v>
      </c>
      <c r="M107" s="178">
        <v>350000</v>
      </c>
      <c r="O107" s="124"/>
    </row>
    <row r="108" spans="1:15" s="2" customFormat="1" ht="25.05" customHeight="1">
      <c r="A108" s="115" t="s">
        <v>1609</v>
      </c>
      <c r="B108" s="120">
        <f>VLOOKUP($A108,출고가!$C:$E,3,FALSE)</f>
        <v>2288000</v>
      </c>
      <c r="C108" s="120" t="str">
        <f t="shared" si="34"/>
        <v>AIP17PM-512슬림10G</v>
      </c>
      <c r="D108" s="121" t="s">
        <v>315</v>
      </c>
      <c r="E108" s="130" t="s">
        <v>229</v>
      </c>
      <c r="F108" s="213" t="str">
        <f t="shared" si="47"/>
        <v>AIP17PM-512</v>
      </c>
      <c r="G108" s="213" t="str">
        <f>VLOOKUP(F108,출고가!C:D,2,0)</f>
        <v>iPhone 17 Pro Max 512GB</v>
      </c>
      <c r="H108" s="131">
        <f t="shared" si="48"/>
        <v>2288000</v>
      </c>
      <c r="I108" s="176" t="s">
        <v>992</v>
      </c>
      <c r="J108" s="177" t="s">
        <v>1523</v>
      </c>
      <c r="K108" s="178">
        <v>280000</v>
      </c>
      <c r="L108" s="178">
        <v>280000</v>
      </c>
      <c r="M108" s="178">
        <v>280000</v>
      </c>
      <c r="O108" s="124"/>
    </row>
    <row r="109" spans="1:15" s="2" customFormat="1" ht="25.05" customHeight="1">
      <c r="A109" s="115" t="s">
        <v>1609</v>
      </c>
      <c r="B109" s="120">
        <f>VLOOKUP($A109,출고가!$C:$E,3,FALSE)</f>
        <v>2288000</v>
      </c>
      <c r="C109" s="120" t="str">
        <f t="shared" si="34"/>
        <v>AIP17PM-512슬림4G</v>
      </c>
      <c r="D109" s="121" t="s">
        <v>315</v>
      </c>
      <c r="E109" s="130" t="s">
        <v>229</v>
      </c>
      <c r="F109" s="213" t="str">
        <f t="shared" si="47"/>
        <v>AIP17PM-512</v>
      </c>
      <c r="G109" s="213" t="str">
        <f>VLOOKUP(F109,출고가!C:D,2,0)</f>
        <v>iPhone 17 Pro Max 512GB</v>
      </c>
      <c r="H109" s="131">
        <f t="shared" si="48"/>
        <v>2288000</v>
      </c>
      <c r="I109" s="182" t="s">
        <v>990</v>
      </c>
      <c r="J109" s="183" t="s">
        <v>1524</v>
      </c>
      <c r="K109" s="184">
        <v>230000</v>
      </c>
      <c r="L109" s="184">
        <v>230000</v>
      </c>
      <c r="M109" s="184">
        <v>230000</v>
      </c>
      <c r="O109" s="124"/>
    </row>
    <row r="110" spans="1:15" s="2" customFormat="1" ht="25.05" customHeight="1">
      <c r="A110" s="115" t="s">
        <v>1681</v>
      </c>
      <c r="B110" s="120">
        <f>VLOOKUP($A110,출고가!$C:$E,3,FALSE)</f>
        <v>990000</v>
      </c>
      <c r="C110" s="120" t="str">
        <f t="shared" ref="C110:C117" si="49">A110&amp;I110</f>
        <v>AIP17E-256베이직</v>
      </c>
      <c r="D110" s="121" t="s">
        <v>315</v>
      </c>
      <c r="E110" s="130" t="s">
        <v>229</v>
      </c>
      <c r="F110" s="213" t="str">
        <f>A110</f>
        <v>AIP17E-256</v>
      </c>
      <c r="G110" s="213" t="str">
        <f>VLOOKUP(F110,출고가!C:D,2,0)</f>
        <v>iPhone 17e 256GB</v>
      </c>
      <c r="H110" s="131">
        <f>B110</f>
        <v>990000</v>
      </c>
      <c r="I110" s="169" t="s">
        <v>357</v>
      </c>
      <c r="J110" s="170" t="s">
        <v>1521</v>
      </c>
      <c r="K110" s="190">
        <v>520000</v>
      </c>
      <c r="L110" s="190">
        <v>520000</v>
      </c>
      <c r="M110" s="190">
        <v>520000</v>
      </c>
      <c r="O110" s="124"/>
    </row>
    <row r="111" spans="1:15" s="2" customFormat="1" ht="25.05" customHeight="1">
      <c r="A111" s="115" t="s">
        <v>1681</v>
      </c>
      <c r="B111" s="120">
        <f>VLOOKUP($A111,출고가!$C:$E,3,FALSE)</f>
        <v>990000</v>
      </c>
      <c r="C111" s="120" t="str">
        <f t="shared" si="49"/>
        <v>AIP17E-256심플30G</v>
      </c>
      <c r="D111" s="121" t="s">
        <v>315</v>
      </c>
      <c r="E111" s="130" t="s">
        <v>229</v>
      </c>
      <c r="F111" s="213" t="str">
        <f t="shared" ref="F111:F113" si="50">A111</f>
        <v>AIP17E-256</v>
      </c>
      <c r="G111" s="213" t="str">
        <f>VLOOKUP(F111,출고가!C:D,2,0)</f>
        <v>iPhone 17e 256GB</v>
      </c>
      <c r="H111" s="131">
        <f t="shared" ref="H111:H113" si="51">B111</f>
        <v>990000</v>
      </c>
      <c r="I111" s="176" t="s">
        <v>988</v>
      </c>
      <c r="J111" s="177" t="s">
        <v>1522</v>
      </c>
      <c r="K111" s="178">
        <v>470000</v>
      </c>
      <c r="L111" s="178">
        <v>470000</v>
      </c>
      <c r="M111" s="178">
        <v>470000</v>
      </c>
      <c r="O111" s="124"/>
    </row>
    <row r="112" spans="1:15" s="2" customFormat="1" ht="25.05" customHeight="1">
      <c r="A112" s="115" t="s">
        <v>1681</v>
      </c>
      <c r="B112" s="120">
        <f>VLOOKUP($A112,출고가!$C:$E,3,FALSE)</f>
        <v>990000</v>
      </c>
      <c r="C112" s="120" t="str">
        <f t="shared" si="49"/>
        <v>AIP17E-256슬림10G</v>
      </c>
      <c r="D112" s="121" t="s">
        <v>315</v>
      </c>
      <c r="E112" s="130" t="s">
        <v>229</v>
      </c>
      <c r="F112" s="213" t="str">
        <f t="shared" si="50"/>
        <v>AIP17E-256</v>
      </c>
      <c r="G112" s="213" t="str">
        <f>VLOOKUP(F112,출고가!C:D,2,0)</f>
        <v>iPhone 17e 256GB</v>
      </c>
      <c r="H112" s="131">
        <f t="shared" si="51"/>
        <v>990000</v>
      </c>
      <c r="I112" s="176" t="s">
        <v>992</v>
      </c>
      <c r="J112" s="177" t="s">
        <v>1523</v>
      </c>
      <c r="K112" s="178">
        <v>420000</v>
      </c>
      <c r="L112" s="178">
        <v>420000</v>
      </c>
      <c r="M112" s="178">
        <v>420000</v>
      </c>
      <c r="O112" s="124"/>
    </row>
    <row r="113" spans="1:15" s="2" customFormat="1" ht="25.05" customHeight="1">
      <c r="A113" s="115" t="s">
        <v>1681</v>
      </c>
      <c r="B113" s="120">
        <f>VLOOKUP($A113,출고가!$C:$E,3,FALSE)</f>
        <v>990000</v>
      </c>
      <c r="C113" s="120" t="str">
        <f t="shared" si="49"/>
        <v>AIP17E-256슬림4G</v>
      </c>
      <c r="D113" s="121" t="s">
        <v>315</v>
      </c>
      <c r="E113" s="130" t="s">
        <v>229</v>
      </c>
      <c r="F113" s="213" t="str">
        <f t="shared" si="50"/>
        <v>AIP17E-256</v>
      </c>
      <c r="G113" s="213" t="str">
        <f>VLOOKUP(F113,출고가!C:D,2,0)</f>
        <v>iPhone 17e 256GB</v>
      </c>
      <c r="H113" s="131">
        <f t="shared" si="51"/>
        <v>990000</v>
      </c>
      <c r="I113" s="182" t="s">
        <v>990</v>
      </c>
      <c r="J113" s="183" t="s">
        <v>1524</v>
      </c>
      <c r="K113" s="184">
        <v>320000</v>
      </c>
      <c r="L113" s="184">
        <v>320000</v>
      </c>
      <c r="M113" s="184">
        <v>320000</v>
      </c>
      <c r="O113" s="124"/>
    </row>
    <row r="114" spans="1:15" s="2" customFormat="1" ht="25.05" customHeight="1">
      <c r="A114" s="115" t="s">
        <v>1682</v>
      </c>
      <c r="B114" s="120">
        <f>VLOOKUP($A114,출고가!$C:$E,3,FALSE)</f>
        <v>1287000</v>
      </c>
      <c r="C114" s="120" t="str">
        <f t="shared" si="49"/>
        <v>AIP17E-512베이직</v>
      </c>
      <c r="D114" s="121" t="s">
        <v>315</v>
      </c>
      <c r="E114" s="130" t="s">
        <v>229</v>
      </c>
      <c r="F114" s="213" t="str">
        <f>A114</f>
        <v>AIP17E-512</v>
      </c>
      <c r="G114" s="213" t="str">
        <f>VLOOKUP(F114,출고가!C:D,2,0)</f>
        <v>iPhone 17e 512GB</v>
      </c>
      <c r="H114" s="131">
        <f>B114</f>
        <v>1287000</v>
      </c>
      <c r="I114" s="169" t="s">
        <v>357</v>
      </c>
      <c r="J114" s="170" t="s">
        <v>1521</v>
      </c>
      <c r="K114" s="190">
        <v>520000</v>
      </c>
      <c r="L114" s="190">
        <v>520000</v>
      </c>
      <c r="M114" s="190">
        <v>520000</v>
      </c>
      <c r="O114" s="124"/>
    </row>
    <row r="115" spans="1:15" s="2" customFormat="1" ht="25.05" customHeight="1">
      <c r="A115" s="115" t="s">
        <v>1682</v>
      </c>
      <c r="B115" s="120">
        <f>VLOOKUP($A115,출고가!$C:$E,3,FALSE)</f>
        <v>1287000</v>
      </c>
      <c r="C115" s="120" t="str">
        <f t="shared" si="49"/>
        <v>AIP17E-512심플30G</v>
      </c>
      <c r="D115" s="121" t="s">
        <v>315</v>
      </c>
      <c r="E115" s="130" t="s">
        <v>229</v>
      </c>
      <c r="F115" s="213" t="str">
        <f t="shared" ref="F115:F117" si="52">A115</f>
        <v>AIP17E-512</v>
      </c>
      <c r="G115" s="213" t="str">
        <f>VLOOKUP(F115,출고가!C:D,2,0)</f>
        <v>iPhone 17e 512GB</v>
      </c>
      <c r="H115" s="131">
        <f t="shared" ref="H115:H117" si="53">B115</f>
        <v>1287000</v>
      </c>
      <c r="I115" s="176" t="s">
        <v>988</v>
      </c>
      <c r="J115" s="177" t="s">
        <v>1522</v>
      </c>
      <c r="K115" s="178">
        <v>470000</v>
      </c>
      <c r="L115" s="178">
        <v>470000</v>
      </c>
      <c r="M115" s="178">
        <v>470000</v>
      </c>
      <c r="O115" s="124"/>
    </row>
    <row r="116" spans="1:15" s="2" customFormat="1" ht="25.05" customHeight="1">
      <c r="A116" s="115" t="s">
        <v>1682</v>
      </c>
      <c r="B116" s="120">
        <f>VLOOKUP($A116,출고가!$C:$E,3,FALSE)</f>
        <v>1287000</v>
      </c>
      <c r="C116" s="120" t="str">
        <f t="shared" si="49"/>
        <v>AIP17E-512슬림10G</v>
      </c>
      <c r="D116" s="121" t="s">
        <v>315</v>
      </c>
      <c r="E116" s="130" t="s">
        <v>229</v>
      </c>
      <c r="F116" s="213" t="str">
        <f t="shared" si="52"/>
        <v>AIP17E-512</v>
      </c>
      <c r="G116" s="213" t="str">
        <f>VLOOKUP(F116,출고가!C:D,2,0)</f>
        <v>iPhone 17e 512GB</v>
      </c>
      <c r="H116" s="131">
        <f t="shared" si="53"/>
        <v>1287000</v>
      </c>
      <c r="I116" s="176" t="s">
        <v>992</v>
      </c>
      <c r="J116" s="177" t="s">
        <v>1523</v>
      </c>
      <c r="K116" s="178">
        <v>420000</v>
      </c>
      <c r="L116" s="178">
        <v>420000</v>
      </c>
      <c r="M116" s="178">
        <v>420000</v>
      </c>
      <c r="O116" s="124"/>
    </row>
    <row r="117" spans="1:15" s="2" customFormat="1" ht="25.05" customHeight="1">
      <c r="A117" s="115" t="s">
        <v>1682</v>
      </c>
      <c r="B117" s="120">
        <f>VLOOKUP($A117,출고가!$C:$E,3,FALSE)</f>
        <v>1287000</v>
      </c>
      <c r="C117" s="120" t="str">
        <f t="shared" si="49"/>
        <v>AIP17E-512슬림4G</v>
      </c>
      <c r="D117" s="121" t="s">
        <v>315</v>
      </c>
      <c r="E117" s="130" t="s">
        <v>229</v>
      </c>
      <c r="F117" s="213" t="str">
        <f t="shared" si="52"/>
        <v>AIP17E-512</v>
      </c>
      <c r="G117" s="213" t="str">
        <f>VLOOKUP(F117,출고가!C:D,2,0)</f>
        <v>iPhone 17e 512GB</v>
      </c>
      <c r="H117" s="131">
        <f t="shared" si="53"/>
        <v>1287000</v>
      </c>
      <c r="I117" s="182" t="s">
        <v>990</v>
      </c>
      <c r="J117" s="183" t="s">
        <v>1524</v>
      </c>
      <c r="K117" s="184">
        <v>320000</v>
      </c>
      <c r="L117" s="184">
        <v>320000</v>
      </c>
      <c r="M117" s="184">
        <v>320000</v>
      </c>
      <c r="O117" s="124"/>
    </row>
    <row r="118" spans="1:15" s="2" customFormat="1" ht="25.05" customHeight="1">
      <c r="A118" s="115" t="s">
        <v>1526</v>
      </c>
      <c r="B118" s="120">
        <f>VLOOKUP($A118,출고가!$C:$E,3,FALSE)</f>
        <v>990000</v>
      </c>
      <c r="C118" s="120" t="str">
        <f t="shared" si="34"/>
        <v>AIP16E-128베이직</v>
      </c>
      <c r="D118" s="121" t="s">
        <v>315</v>
      </c>
      <c r="E118" s="130" t="s">
        <v>229</v>
      </c>
      <c r="F118" s="213" t="str">
        <f>A118</f>
        <v>AIP16E-128</v>
      </c>
      <c r="G118" s="213" t="str">
        <f>VLOOKUP(F118,출고가!C:D,2,0)</f>
        <v>iPhone 16e 128G</v>
      </c>
      <c r="H118" s="131">
        <f>B118</f>
        <v>990000</v>
      </c>
      <c r="I118" s="169" t="s">
        <v>357</v>
      </c>
      <c r="J118" s="170" t="s">
        <v>1521</v>
      </c>
      <c r="K118" s="190">
        <v>520000</v>
      </c>
      <c r="L118" s="190">
        <v>520000</v>
      </c>
      <c r="M118" s="190">
        <v>520000</v>
      </c>
      <c r="O118" s="124"/>
    </row>
    <row r="119" spans="1:15" s="2" customFormat="1" ht="25.05" customHeight="1">
      <c r="A119" s="115" t="s">
        <v>1509</v>
      </c>
      <c r="B119" s="120">
        <f>VLOOKUP($A119,출고가!$C:$E,3,FALSE)</f>
        <v>990000</v>
      </c>
      <c r="C119" s="120" t="str">
        <f t="shared" si="34"/>
        <v>AIP16E-128심플30G</v>
      </c>
      <c r="D119" s="121" t="s">
        <v>315</v>
      </c>
      <c r="E119" s="130" t="s">
        <v>229</v>
      </c>
      <c r="F119" s="213" t="str">
        <f t="shared" ref="F119:F121" si="54">A119</f>
        <v>AIP16E-128</v>
      </c>
      <c r="G119" s="213" t="str">
        <f>VLOOKUP(F119,출고가!C:D,2,0)</f>
        <v>iPhone 16e 128G</v>
      </c>
      <c r="H119" s="131">
        <f t="shared" ref="H119:H121" si="55">B119</f>
        <v>990000</v>
      </c>
      <c r="I119" s="176" t="s">
        <v>988</v>
      </c>
      <c r="J119" s="177" t="s">
        <v>1522</v>
      </c>
      <c r="K119" s="178">
        <v>470000</v>
      </c>
      <c r="L119" s="178">
        <v>470000</v>
      </c>
      <c r="M119" s="178">
        <v>470000</v>
      </c>
      <c r="O119" s="124"/>
    </row>
    <row r="120" spans="1:15" s="2" customFormat="1" ht="25.05" customHeight="1">
      <c r="A120" s="115" t="s">
        <v>1509</v>
      </c>
      <c r="B120" s="120">
        <f>VLOOKUP($A120,출고가!$C:$E,3,FALSE)</f>
        <v>990000</v>
      </c>
      <c r="C120" s="120" t="str">
        <f t="shared" si="34"/>
        <v>AIP16E-128슬림10G</v>
      </c>
      <c r="D120" s="121" t="s">
        <v>315</v>
      </c>
      <c r="E120" s="130" t="s">
        <v>229</v>
      </c>
      <c r="F120" s="213" t="str">
        <f t="shared" si="54"/>
        <v>AIP16E-128</v>
      </c>
      <c r="G120" s="213" t="str">
        <f>VLOOKUP(F120,출고가!C:D,2,0)</f>
        <v>iPhone 16e 128G</v>
      </c>
      <c r="H120" s="131">
        <f t="shared" si="55"/>
        <v>990000</v>
      </c>
      <c r="I120" s="176" t="s">
        <v>992</v>
      </c>
      <c r="J120" s="177" t="s">
        <v>1523</v>
      </c>
      <c r="K120" s="178">
        <v>420000</v>
      </c>
      <c r="L120" s="178">
        <v>420000</v>
      </c>
      <c r="M120" s="178">
        <v>420000</v>
      </c>
      <c r="O120" s="124"/>
    </row>
    <row r="121" spans="1:15" s="2" customFormat="1" ht="24" customHeight="1">
      <c r="A121" s="115" t="s">
        <v>1509</v>
      </c>
      <c r="B121" s="120">
        <f>VLOOKUP($A121,출고가!$C:$E,3,FALSE)</f>
        <v>990000</v>
      </c>
      <c r="C121" s="120" t="str">
        <f t="shared" si="34"/>
        <v>AIP16E-128슬림4G</v>
      </c>
      <c r="D121" s="121" t="s">
        <v>315</v>
      </c>
      <c r="E121" s="130" t="s">
        <v>229</v>
      </c>
      <c r="F121" s="213" t="str">
        <f t="shared" si="54"/>
        <v>AIP16E-128</v>
      </c>
      <c r="G121" s="213" t="str">
        <f>VLOOKUP(F121,출고가!C:D,2,0)</f>
        <v>iPhone 16e 128G</v>
      </c>
      <c r="H121" s="131">
        <f t="shared" si="55"/>
        <v>990000</v>
      </c>
      <c r="I121" s="182" t="s">
        <v>990</v>
      </c>
      <c r="J121" s="183" t="s">
        <v>1524</v>
      </c>
      <c r="K121" s="184">
        <v>320000</v>
      </c>
      <c r="L121" s="184">
        <v>320000</v>
      </c>
      <c r="M121" s="184">
        <v>320000</v>
      </c>
      <c r="O121" s="124"/>
    </row>
    <row r="122" spans="1:15" s="2" customFormat="1" ht="25.05" customHeight="1">
      <c r="A122" s="115" t="s">
        <v>1511</v>
      </c>
      <c r="B122" s="120">
        <f>VLOOKUP($A122,출고가!$C:$E,3,FALSE)</f>
        <v>1133000</v>
      </c>
      <c r="C122" s="120" t="str">
        <f t="shared" si="34"/>
        <v>AIP16E-256베이직</v>
      </c>
      <c r="D122" s="121" t="s">
        <v>315</v>
      </c>
      <c r="E122" s="130" t="s">
        <v>229</v>
      </c>
      <c r="F122" s="213" t="str">
        <f>A122</f>
        <v>AIP16E-256</v>
      </c>
      <c r="G122" s="213" t="str">
        <f>VLOOKUP(F122,출고가!C:D,2,0)</f>
        <v>iPhone 16e 256G</v>
      </c>
      <c r="H122" s="131">
        <f>B122</f>
        <v>1133000</v>
      </c>
      <c r="I122" s="169" t="s">
        <v>357</v>
      </c>
      <c r="J122" s="170" t="s">
        <v>1521</v>
      </c>
      <c r="K122" s="190">
        <v>520000</v>
      </c>
      <c r="L122" s="190">
        <v>520000</v>
      </c>
      <c r="M122" s="190">
        <v>520000</v>
      </c>
      <c r="O122" s="124"/>
    </row>
    <row r="123" spans="1:15" s="2" customFormat="1" ht="25.05" customHeight="1">
      <c r="A123" s="115" t="s">
        <v>1511</v>
      </c>
      <c r="B123" s="120">
        <f>VLOOKUP($A123,출고가!$C:$E,3,FALSE)</f>
        <v>1133000</v>
      </c>
      <c r="C123" s="120" t="str">
        <f t="shared" si="34"/>
        <v>AIP16E-256심플30G</v>
      </c>
      <c r="D123" s="121" t="s">
        <v>315</v>
      </c>
      <c r="E123" s="130" t="s">
        <v>229</v>
      </c>
      <c r="F123" s="213" t="str">
        <f t="shared" ref="F123:F125" si="56">A123</f>
        <v>AIP16E-256</v>
      </c>
      <c r="G123" s="213" t="str">
        <f>VLOOKUP(F123,출고가!C:D,2,0)</f>
        <v>iPhone 16e 256G</v>
      </c>
      <c r="H123" s="131">
        <f t="shared" ref="H123:H125" si="57">B123</f>
        <v>1133000</v>
      </c>
      <c r="I123" s="176" t="s">
        <v>988</v>
      </c>
      <c r="J123" s="177" t="s">
        <v>1522</v>
      </c>
      <c r="K123" s="178">
        <v>470000</v>
      </c>
      <c r="L123" s="178">
        <v>470000</v>
      </c>
      <c r="M123" s="178">
        <v>470000</v>
      </c>
      <c r="O123" s="124"/>
    </row>
    <row r="124" spans="1:15" s="2" customFormat="1" ht="25.05" customHeight="1">
      <c r="A124" s="115" t="s">
        <v>1511</v>
      </c>
      <c r="B124" s="120">
        <f>VLOOKUP($A124,출고가!$C:$E,3,FALSE)</f>
        <v>1133000</v>
      </c>
      <c r="C124" s="120" t="str">
        <f t="shared" si="34"/>
        <v>AIP16E-256슬림10G</v>
      </c>
      <c r="D124" s="121" t="s">
        <v>315</v>
      </c>
      <c r="E124" s="130" t="s">
        <v>229</v>
      </c>
      <c r="F124" s="213" t="str">
        <f t="shared" si="56"/>
        <v>AIP16E-256</v>
      </c>
      <c r="G124" s="213" t="str">
        <f>VLOOKUP(F124,출고가!C:D,2,0)</f>
        <v>iPhone 16e 256G</v>
      </c>
      <c r="H124" s="131">
        <f t="shared" si="57"/>
        <v>1133000</v>
      </c>
      <c r="I124" s="176" t="s">
        <v>992</v>
      </c>
      <c r="J124" s="177" t="s">
        <v>1523</v>
      </c>
      <c r="K124" s="178">
        <v>420000</v>
      </c>
      <c r="L124" s="178">
        <v>420000</v>
      </c>
      <c r="M124" s="178">
        <v>420000</v>
      </c>
      <c r="O124" s="124"/>
    </row>
    <row r="125" spans="1:15" s="2" customFormat="1" ht="25.05" customHeight="1">
      <c r="A125" s="115" t="s">
        <v>1511</v>
      </c>
      <c r="B125" s="120">
        <f>VLOOKUP($A125,출고가!$C:$E,3,FALSE)</f>
        <v>1133000</v>
      </c>
      <c r="C125" s="120" t="str">
        <f t="shared" si="34"/>
        <v>AIP16E-256슬림4G</v>
      </c>
      <c r="D125" s="121" t="s">
        <v>315</v>
      </c>
      <c r="E125" s="130" t="s">
        <v>229</v>
      </c>
      <c r="F125" s="213" t="str">
        <f t="shared" si="56"/>
        <v>AIP16E-256</v>
      </c>
      <c r="G125" s="213" t="str">
        <f>VLOOKUP(F125,출고가!C:D,2,0)</f>
        <v>iPhone 16e 256G</v>
      </c>
      <c r="H125" s="131">
        <f t="shared" si="57"/>
        <v>1133000</v>
      </c>
      <c r="I125" s="182" t="s">
        <v>990</v>
      </c>
      <c r="J125" s="183" t="s">
        <v>1524</v>
      </c>
      <c r="K125" s="184">
        <v>320000</v>
      </c>
      <c r="L125" s="184">
        <v>320000</v>
      </c>
      <c r="M125" s="184">
        <v>320000</v>
      </c>
      <c r="O125" s="124"/>
    </row>
    <row r="126" spans="1:15" s="2" customFormat="1" ht="25.05" customHeight="1">
      <c r="A126" s="115" t="s">
        <v>1513</v>
      </c>
      <c r="B126" s="120">
        <f>VLOOKUP($A126,출고가!$C:$E,3,FALSE)</f>
        <v>1430000</v>
      </c>
      <c r="C126" s="120" t="str">
        <f t="shared" si="34"/>
        <v>AIP16E-512베이직</v>
      </c>
      <c r="D126" s="121" t="s">
        <v>315</v>
      </c>
      <c r="E126" s="130" t="s">
        <v>229</v>
      </c>
      <c r="F126" s="213" t="str">
        <f>A126</f>
        <v>AIP16E-512</v>
      </c>
      <c r="G126" s="213" t="str">
        <f>VLOOKUP(F126,출고가!C:D,2,0)</f>
        <v>iPhone 16e 512G</v>
      </c>
      <c r="H126" s="131">
        <f>B126</f>
        <v>1430000</v>
      </c>
      <c r="I126" s="169" t="s">
        <v>357</v>
      </c>
      <c r="J126" s="170" t="s">
        <v>1521</v>
      </c>
      <c r="K126" s="190">
        <v>520000</v>
      </c>
      <c r="L126" s="190">
        <v>520000</v>
      </c>
      <c r="M126" s="190">
        <v>520000</v>
      </c>
      <c r="O126" s="124"/>
    </row>
    <row r="127" spans="1:15" s="2" customFormat="1" ht="25.05" customHeight="1">
      <c r="A127" s="115" t="s">
        <v>1513</v>
      </c>
      <c r="B127" s="120">
        <f>VLOOKUP($A127,출고가!$C:$E,3,FALSE)</f>
        <v>1430000</v>
      </c>
      <c r="C127" s="120" t="str">
        <f t="shared" si="34"/>
        <v>AIP16E-512심플30G</v>
      </c>
      <c r="D127" s="121" t="s">
        <v>315</v>
      </c>
      <c r="E127" s="130" t="s">
        <v>229</v>
      </c>
      <c r="F127" s="213" t="str">
        <f t="shared" ref="F127:F129" si="58">A127</f>
        <v>AIP16E-512</v>
      </c>
      <c r="G127" s="213" t="str">
        <f>VLOOKUP(F127,출고가!C:D,2,0)</f>
        <v>iPhone 16e 512G</v>
      </c>
      <c r="H127" s="131">
        <f t="shared" ref="H127:H129" si="59">B127</f>
        <v>1430000</v>
      </c>
      <c r="I127" s="176" t="s">
        <v>988</v>
      </c>
      <c r="J127" s="177" t="s">
        <v>1522</v>
      </c>
      <c r="K127" s="178">
        <v>470000</v>
      </c>
      <c r="L127" s="178">
        <v>470000</v>
      </c>
      <c r="M127" s="178">
        <v>470000</v>
      </c>
      <c r="O127" s="124"/>
    </row>
    <row r="128" spans="1:15" s="2" customFormat="1" ht="25.05" customHeight="1">
      <c r="A128" s="115" t="s">
        <v>1513</v>
      </c>
      <c r="B128" s="120">
        <f>VLOOKUP($A128,출고가!$C:$E,3,FALSE)</f>
        <v>1430000</v>
      </c>
      <c r="C128" s="120" t="str">
        <f t="shared" si="34"/>
        <v>AIP16E-512슬림10G</v>
      </c>
      <c r="D128" s="121" t="s">
        <v>315</v>
      </c>
      <c r="E128" s="130" t="s">
        <v>229</v>
      </c>
      <c r="F128" s="213" t="str">
        <f t="shared" si="58"/>
        <v>AIP16E-512</v>
      </c>
      <c r="G128" s="213" t="str">
        <f>VLOOKUP(F128,출고가!C:D,2,0)</f>
        <v>iPhone 16e 512G</v>
      </c>
      <c r="H128" s="131">
        <f t="shared" si="59"/>
        <v>1430000</v>
      </c>
      <c r="I128" s="176" t="s">
        <v>992</v>
      </c>
      <c r="J128" s="177" t="s">
        <v>1523</v>
      </c>
      <c r="K128" s="178">
        <v>420000</v>
      </c>
      <c r="L128" s="178">
        <v>420000</v>
      </c>
      <c r="M128" s="178">
        <v>420000</v>
      </c>
      <c r="O128" s="124"/>
    </row>
    <row r="129" spans="1:15" s="2" customFormat="1" ht="25.05" customHeight="1">
      <c r="A129" s="115" t="s">
        <v>1513</v>
      </c>
      <c r="B129" s="120">
        <f>VLOOKUP($A129,출고가!$C:$E,3,FALSE)</f>
        <v>1430000</v>
      </c>
      <c r="C129" s="120" t="str">
        <f t="shared" si="34"/>
        <v>AIP16E-512슬림4G</v>
      </c>
      <c r="D129" s="121" t="s">
        <v>315</v>
      </c>
      <c r="E129" s="130" t="s">
        <v>229</v>
      </c>
      <c r="F129" s="213" t="str">
        <f t="shared" si="58"/>
        <v>AIP16E-512</v>
      </c>
      <c r="G129" s="213" t="str">
        <f>VLOOKUP(F129,출고가!C:D,2,0)</f>
        <v>iPhone 16e 512G</v>
      </c>
      <c r="H129" s="131">
        <f t="shared" si="59"/>
        <v>1430000</v>
      </c>
      <c r="I129" s="182" t="s">
        <v>990</v>
      </c>
      <c r="J129" s="183" t="s">
        <v>1524</v>
      </c>
      <c r="K129" s="184">
        <v>320000</v>
      </c>
      <c r="L129" s="184">
        <v>320000</v>
      </c>
      <c r="M129" s="184">
        <v>320000</v>
      </c>
      <c r="O129" s="124"/>
    </row>
    <row r="130" spans="1:15" s="2" customFormat="1" ht="25.05" customHeight="1">
      <c r="A130" s="115" t="s">
        <v>1399</v>
      </c>
      <c r="B130" s="120">
        <f>VLOOKUP($A130,출고가!$C:$E,3,FALSE)</f>
        <v>1023000</v>
      </c>
      <c r="C130" s="120" t="str">
        <f t="shared" si="34"/>
        <v>AIP16-128베이직</v>
      </c>
      <c r="D130" s="121" t="s">
        <v>315</v>
      </c>
      <c r="E130" s="130" t="s">
        <v>229</v>
      </c>
      <c r="F130" s="213" t="str">
        <f>A130</f>
        <v>AIP16-128</v>
      </c>
      <c r="G130" s="213" t="str">
        <f>VLOOKUP(F130,출고가!C:D,2,0)</f>
        <v>iPhone 16 128G</v>
      </c>
      <c r="H130" s="131">
        <f>B130</f>
        <v>1023000</v>
      </c>
      <c r="I130" s="169" t="s">
        <v>357</v>
      </c>
      <c r="J130" s="170" t="s">
        <v>1521</v>
      </c>
      <c r="K130" s="190">
        <v>450000</v>
      </c>
      <c r="L130" s="190">
        <v>450000</v>
      </c>
      <c r="M130" s="190">
        <v>450000</v>
      </c>
      <c r="O130" s="124"/>
    </row>
    <row r="131" spans="1:15" s="2" customFormat="1" ht="25.05" customHeight="1">
      <c r="A131" s="115" t="s">
        <v>1399</v>
      </c>
      <c r="B131" s="120">
        <f>VLOOKUP($A131,출고가!$C:$E,3,FALSE)</f>
        <v>1023000</v>
      </c>
      <c r="C131" s="120" t="str">
        <f t="shared" si="34"/>
        <v>AIP16-128심플30G</v>
      </c>
      <c r="D131" s="121" t="s">
        <v>315</v>
      </c>
      <c r="E131" s="130" t="s">
        <v>229</v>
      </c>
      <c r="F131" s="213" t="str">
        <f t="shared" ref="F131:F133" si="60">A131</f>
        <v>AIP16-128</v>
      </c>
      <c r="G131" s="213" t="str">
        <f>VLOOKUP(F131,출고가!C:D,2,0)</f>
        <v>iPhone 16 128G</v>
      </c>
      <c r="H131" s="131">
        <f t="shared" ref="H131:H133" si="61">B131</f>
        <v>1023000</v>
      </c>
      <c r="I131" s="176" t="s">
        <v>988</v>
      </c>
      <c r="J131" s="177" t="s">
        <v>1522</v>
      </c>
      <c r="K131" s="178">
        <v>380000</v>
      </c>
      <c r="L131" s="178">
        <v>380000</v>
      </c>
      <c r="M131" s="178">
        <v>380000</v>
      </c>
      <c r="O131" s="124"/>
    </row>
    <row r="132" spans="1:15" s="2" customFormat="1" ht="25.05" customHeight="1">
      <c r="A132" s="115" t="s">
        <v>1399</v>
      </c>
      <c r="B132" s="120">
        <f>VLOOKUP($A132,출고가!$C:$E,3,FALSE)</f>
        <v>1023000</v>
      </c>
      <c r="C132" s="120" t="str">
        <f t="shared" si="34"/>
        <v>AIP16-128슬림10G</v>
      </c>
      <c r="D132" s="121" t="s">
        <v>315</v>
      </c>
      <c r="E132" s="130" t="s">
        <v>229</v>
      </c>
      <c r="F132" s="213" t="str">
        <f t="shared" si="60"/>
        <v>AIP16-128</v>
      </c>
      <c r="G132" s="213" t="str">
        <f>VLOOKUP(F132,출고가!C:D,2,0)</f>
        <v>iPhone 16 128G</v>
      </c>
      <c r="H132" s="131">
        <f t="shared" si="61"/>
        <v>1023000</v>
      </c>
      <c r="I132" s="176" t="s">
        <v>992</v>
      </c>
      <c r="J132" s="177" t="s">
        <v>1523</v>
      </c>
      <c r="K132" s="178">
        <v>310000</v>
      </c>
      <c r="L132" s="178">
        <v>310000</v>
      </c>
      <c r="M132" s="178">
        <v>310000</v>
      </c>
      <c r="O132" s="124"/>
    </row>
    <row r="133" spans="1:15" s="2" customFormat="1" ht="24" customHeight="1">
      <c r="A133" s="115" t="s">
        <v>1399</v>
      </c>
      <c r="B133" s="120">
        <f>VLOOKUP($A133,출고가!$C:$E,3,FALSE)</f>
        <v>1023000</v>
      </c>
      <c r="C133" s="120" t="str">
        <f t="shared" si="34"/>
        <v>AIP16-128슬림4G</v>
      </c>
      <c r="D133" s="121" t="s">
        <v>315</v>
      </c>
      <c r="E133" s="130" t="s">
        <v>229</v>
      </c>
      <c r="F133" s="213" t="str">
        <f t="shared" si="60"/>
        <v>AIP16-128</v>
      </c>
      <c r="G133" s="213" t="str">
        <f>VLOOKUP(F133,출고가!C:D,2,0)</f>
        <v>iPhone 16 128G</v>
      </c>
      <c r="H133" s="131">
        <f t="shared" si="61"/>
        <v>1023000</v>
      </c>
      <c r="I133" s="182" t="s">
        <v>990</v>
      </c>
      <c r="J133" s="183" t="s">
        <v>1524</v>
      </c>
      <c r="K133" s="184">
        <v>260000</v>
      </c>
      <c r="L133" s="184">
        <v>260000</v>
      </c>
      <c r="M133" s="184">
        <v>260000</v>
      </c>
      <c r="O133" s="124"/>
    </row>
    <row r="134" spans="1:15" s="2" customFormat="1" ht="25.05" customHeight="1">
      <c r="A134" s="115" t="s">
        <v>1401</v>
      </c>
      <c r="B134" s="120">
        <f>VLOOKUP($A134,출고가!$C:$E,3,FALSE)</f>
        <v>1177000</v>
      </c>
      <c r="C134" s="120" t="str">
        <f t="shared" si="34"/>
        <v>AIP16-256베이직</v>
      </c>
      <c r="D134" s="121" t="s">
        <v>315</v>
      </c>
      <c r="E134" s="130" t="s">
        <v>229</v>
      </c>
      <c r="F134" s="213" t="str">
        <f>A134</f>
        <v>AIP16-256</v>
      </c>
      <c r="G134" s="213" t="str">
        <f>VLOOKUP(F134,출고가!C:D,2,0)</f>
        <v>iPhone 16 256G</v>
      </c>
      <c r="H134" s="131">
        <f>B134</f>
        <v>1177000</v>
      </c>
      <c r="I134" s="169" t="s">
        <v>357</v>
      </c>
      <c r="J134" s="170" t="s">
        <v>1521</v>
      </c>
      <c r="K134" s="190">
        <v>450000</v>
      </c>
      <c r="L134" s="190">
        <v>450000</v>
      </c>
      <c r="M134" s="190">
        <v>450000</v>
      </c>
      <c r="O134" s="124"/>
    </row>
    <row r="135" spans="1:15" s="2" customFormat="1" ht="25.05" customHeight="1">
      <c r="A135" s="115" t="s">
        <v>1401</v>
      </c>
      <c r="B135" s="120">
        <f>VLOOKUP($A135,출고가!$C:$E,3,FALSE)</f>
        <v>1177000</v>
      </c>
      <c r="C135" s="120" t="str">
        <f t="shared" si="34"/>
        <v>AIP16-256심플30G</v>
      </c>
      <c r="D135" s="121" t="s">
        <v>315</v>
      </c>
      <c r="E135" s="130" t="s">
        <v>229</v>
      </c>
      <c r="F135" s="213" t="str">
        <f t="shared" ref="F135:F137" si="62">A135</f>
        <v>AIP16-256</v>
      </c>
      <c r="G135" s="213" t="str">
        <f>VLOOKUP(F135,출고가!C:D,2,0)</f>
        <v>iPhone 16 256G</v>
      </c>
      <c r="H135" s="131">
        <f t="shared" ref="H135:H137" si="63">B135</f>
        <v>1177000</v>
      </c>
      <c r="I135" s="176" t="s">
        <v>988</v>
      </c>
      <c r="J135" s="177" t="s">
        <v>1522</v>
      </c>
      <c r="K135" s="178">
        <v>380000</v>
      </c>
      <c r="L135" s="178">
        <v>380000</v>
      </c>
      <c r="M135" s="178">
        <v>380000</v>
      </c>
      <c r="O135" s="124"/>
    </row>
    <row r="136" spans="1:15" s="2" customFormat="1" ht="25.05" customHeight="1">
      <c r="A136" s="115" t="s">
        <v>1401</v>
      </c>
      <c r="B136" s="120">
        <f>VLOOKUP($A136,출고가!$C:$E,3,FALSE)</f>
        <v>1177000</v>
      </c>
      <c r="C136" s="120" t="str">
        <f t="shared" si="34"/>
        <v>AIP16-256슬림10G</v>
      </c>
      <c r="D136" s="121" t="s">
        <v>315</v>
      </c>
      <c r="E136" s="130" t="s">
        <v>229</v>
      </c>
      <c r="F136" s="213" t="str">
        <f t="shared" si="62"/>
        <v>AIP16-256</v>
      </c>
      <c r="G136" s="213" t="str">
        <f>VLOOKUP(F136,출고가!C:D,2,0)</f>
        <v>iPhone 16 256G</v>
      </c>
      <c r="H136" s="131">
        <f t="shared" si="63"/>
        <v>1177000</v>
      </c>
      <c r="I136" s="176" t="s">
        <v>992</v>
      </c>
      <c r="J136" s="177" t="s">
        <v>1523</v>
      </c>
      <c r="K136" s="178">
        <v>310000</v>
      </c>
      <c r="L136" s="178">
        <v>310000</v>
      </c>
      <c r="M136" s="178">
        <v>310000</v>
      </c>
      <c r="O136" s="124"/>
    </row>
    <row r="137" spans="1:15" s="2" customFormat="1" ht="25.05" customHeight="1">
      <c r="A137" s="115" t="s">
        <v>1401</v>
      </c>
      <c r="B137" s="120">
        <f>VLOOKUP($A137,출고가!$C:$E,3,FALSE)</f>
        <v>1177000</v>
      </c>
      <c r="C137" s="120" t="str">
        <f t="shared" si="34"/>
        <v>AIP16-256슬림4G</v>
      </c>
      <c r="D137" s="121" t="s">
        <v>315</v>
      </c>
      <c r="E137" s="130" t="s">
        <v>229</v>
      </c>
      <c r="F137" s="213" t="str">
        <f t="shared" si="62"/>
        <v>AIP16-256</v>
      </c>
      <c r="G137" s="213" t="str">
        <f>VLOOKUP(F137,출고가!C:D,2,0)</f>
        <v>iPhone 16 256G</v>
      </c>
      <c r="H137" s="131">
        <f t="shared" si="63"/>
        <v>1177000</v>
      </c>
      <c r="I137" s="182" t="s">
        <v>990</v>
      </c>
      <c r="J137" s="183" t="s">
        <v>1524</v>
      </c>
      <c r="K137" s="184">
        <v>260000</v>
      </c>
      <c r="L137" s="184">
        <v>260000</v>
      </c>
      <c r="M137" s="184">
        <v>260000</v>
      </c>
      <c r="O137" s="124"/>
    </row>
    <row r="138" spans="1:15" s="2" customFormat="1" ht="25.05" customHeight="1">
      <c r="A138" s="115" t="s">
        <v>1403</v>
      </c>
      <c r="B138" s="120">
        <f>VLOOKUP($A138,출고가!$C:$E,3,FALSE)</f>
        <v>1474000</v>
      </c>
      <c r="C138" s="120" t="str">
        <f t="shared" si="34"/>
        <v>AIP16-512베이직</v>
      </c>
      <c r="D138" s="121" t="s">
        <v>315</v>
      </c>
      <c r="E138" s="130" t="s">
        <v>229</v>
      </c>
      <c r="F138" s="213" t="str">
        <f>A138</f>
        <v>AIP16-512</v>
      </c>
      <c r="G138" s="213" t="str">
        <f>VLOOKUP(F138,출고가!C:D,2,0)</f>
        <v>iPhone 16 512G</v>
      </c>
      <c r="H138" s="131">
        <f>B138</f>
        <v>1474000</v>
      </c>
      <c r="I138" s="169" t="s">
        <v>357</v>
      </c>
      <c r="J138" s="170" t="s">
        <v>1521</v>
      </c>
      <c r="K138" s="190">
        <v>450000</v>
      </c>
      <c r="L138" s="190">
        <v>450000</v>
      </c>
      <c r="M138" s="190">
        <v>450000</v>
      </c>
      <c r="O138" s="124"/>
    </row>
    <row r="139" spans="1:15" s="2" customFormat="1" ht="25.05" customHeight="1">
      <c r="A139" s="115" t="s">
        <v>1403</v>
      </c>
      <c r="B139" s="120">
        <f>VLOOKUP($A139,출고가!$C:$E,3,FALSE)</f>
        <v>1474000</v>
      </c>
      <c r="C139" s="120" t="str">
        <f t="shared" si="34"/>
        <v>AIP16-512심플30G</v>
      </c>
      <c r="D139" s="121" t="s">
        <v>315</v>
      </c>
      <c r="E139" s="130" t="s">
        <v>229</v>
      </c>
      <c r="F139" s="213" t="str">
        <f t="shared" ref="F139:F141" si="64">A139</f>
        <v>AIP16-512</v>
      </c>
      <c r="G139" s="213" t="str">
        <f>VLOOKUP(F139,출고가!C:D,2,0)</f>
        <v>iPhone 16 512G</v>
      </c>
      <c r="H139" s="131">
        <f t="shared" ref="H139:H141" si="65">B139</f>
        <v>1474000</v>
      </c>
      <c r="I139" s="176" t="s">
        <v>988</v>
      </c>
      <c r="J139" s="177" t="s">
        <v>1522</v>
      </c>
      <c r="K139" s="178">
        <v>380000</v>
      </c>
      <c r="L139" s="178">
        <v>380000</v>
      </c>
      <c r="M139" s="178">
        <v>380000</v>
      </c>
      <c r="O139" s="124"/>
    </row>
    <row r="140" spans="1:15" s="2" customFormat="1" ht="25.05" customHeight="1">
      <c r="A140" s="115" t="s">
        <v>1403</v>
      </c>
      <c r="B140" s="120">
        <f>VLOOKUP($A140,출고가!$C:$E,3,FALSE)</f>
        <v>1474000</v>
      </c>
      <c r="C140" s="120" t="str">
        <f t="shared" si="34"/>
        <v>AIP16-512슬림10G</v>
      </c>
      <c r="D140" s="121" t="s">
        <v>315</v>
      </c>
      <c r="E140" s="130" t="s">
        <v>229</v>
      </c>
      <c r="F140" s="213" t="str">
        <f t="shared" si="64"/>
        <v>AIP16-512</v>
      </c>
      <c r="G140" s="213" t="str">
        <f>VLOOKUP(F140,출고가!C:D,2,0)</f>
        <v>iPhone 16 512G</v>
      </c>
      <c r="H140" s="131">
        <f t="shared" si="65"/>
        <v>1474000</v>
      </c>
      <c r="I140" s="176" t="s">
        <v>992</v>
      </c>
      <c r="J140" s="177" t="s">
        <v>1523</v>
      </c>
      <c r="K140" s="178">
        <v>310000</v>
      </c>
      <c r="L140" s="178">
        <v>310000</v>
      </c>
      <c r="M140" s="178">
        <v>310000</v>
      </c>
      <c r="O140" s="124"/>
    </row>
    <row r="141" spans="1:15" s="2" customFormat="1" ht="25.05" customHeight="1">
      <c r="A141" s="115" t="s">
        <v>1403</v>
      </c>
      <c r="B141" s="120">
        <f>VLOOKUP($A141,출고가!$C:$E,3,FALSE)</f>
        <v>1474000</v>
      </c>
      <c r="C141" s="120" t="str">
        <f t="shared" si="34"/>
        <v>AIP16-512슬림4G</v>
      </c>
      <c r="D141" s="121" t="s">
        <v>315</v>
      </c>
      <c r="E141" s="130" t="s">
        <v>229</v>
      </c>
      <c r="F141" s="213" t="str">
        <f t="shared" si="64"/>
        <v>AIP16-512</v>
      </c>
      <c r="G141" s="213" t="str">
        <f>VLOOKUP(F141,출고가!C:D,2,0)</f>
        <v>iPhone 16 512G</v>
      </c>
      <c r="H141" s="131">
        <f t="shared" si="65"/>
        <v>1474000</v>
      </c>
      <c r="I141" s="182" t="s">
        <v>990</v>
      </c>
      <c r="J141" s="183" t="s">
        <v>1524</v>
      </c>
      <c r="K141" s="184">
        <v>260000</v>
      </c>
      <c r="L141" s="184">
        <v>260000</v>
      </c>
      <c r="M141" s="184">
        <v>260000</v>
      </c>
      <c r="O141" s="124"/>
    </row>
    <row r="142" spans="1:15" s="2" customFormat="1" ht="25.05" customHeight="1">
      <c r="A142" s="115" t="s">
        <v>1405</v>
      </c>
      <c r="B142" s="120">
        <f>VLOOKUP($A142,출고가!$C:$E,3,FALSE)</f>
        <v>1122000</v>
      </c>
      <c r="C142" s="120" t="str">
        <f t="shared" si="34"/>
        <v>AIP16PS-128베이직</v>
      </c>
      <c r="D142" s="121" t="s">
        <v>315</v>
      </c>
      <c r="E142" s="130" t="s">
        <v>229</v>
      </c>
      <c r="F142" s="213" t="str">
        <f>A142</f>
        <v>AIP16PS-128</v>
      </c>
      <c r="G142" s="213" t="str">
        <f>VLOOKUP(F142,출고가!C:D,2,0)</f>
        <v>iPhone 16 Plus 128G</v>
      </c>
      <c r="H142" s="131">
        <f>B142</f>
        <v>1122000</v>
      </c>
      <c r="I142" s="169" t="s">
        <v>357</v>
      </c>
      <c r="J142" s="170" t="s">
        <v>1521</v>
      </c>
      <c r="K142" s="190">
        <v>450000</v>
      </c>
      <c r="L142" s="190">
        <v>450000</v>
      </c>
      <c r="M142" s="190">
        <v>450000</v>
      </c>
      <c r="O142" s="124"/>
    </row>
    <row r="143" spans="1:15" s="2" customFormat="1" ht="25.05" customHeight="1">
      <c r="A143" s="115" t="s">
        <v>1405</v>
      </c>
      <c r="B143" s="120">
        <f>VLOOKUP($A143,출고가!$C:$E,3,FALSE)</f>
        <v>1122000</v>
      </c>
      <c r="C143" s="120" t="str">
        <f t="shared" si="34"/>
        <v>AIP16PS-128심플30G</v>
      </c>
      <c r="D143" s="121" t="s">
        <v>315</v>
      </c>
      <c r="E143" s="130" t="s">
        <v>229</v>
      </c>
      <c r="F143" s="213" t="str">
        <f t="shared" ref="F143:F145" si="66">A143</f>
        <v>AIP16PS-128</v>
      </c>
      <c r="G143" s="213" t="str">
        <f>VLOOKUP(F143,출고가!C:D,2,0)</f>
        <v>iPhone 16 Plus 128G</v>
      </c>
      <c r="H143" s="131">
        <f t="shared" ref="H143:H145" si="67">B143</f>
        <v>1122000</v>
      </c>
      <c r="I143" s="176" t="s">
        <v>988</v>
      </c>
      <c r="J143" s="177" t="s">
        <v>1522</v>
      </c>
      <c r="K143" s="178">
        <v>380000</v>
      </c>
      <c r="L143" s="178">
        <v>380000</v>
      </c>
      <c r="M143" s="178">
        <v>380000</v>
      </c>
      <c r="O143" s="124"/>
    </row>
    <row r="144" spans="1:15" s="2" customFormat="1" ht="25.05" customHeight="1">
      <c r="A144" s="115" t="s">
        <v>1405</v>
      </c>
      <c r="B144" s="120">
        <f>VLOOKUP($A144,출고가!$C:$E,3,FALSE)</f>
        <v>1122000</v>
      </c>
      <c r="C144" s="120" t="str">
        <f t="shared" si="34"/>
        <v>AIP16PS-128슬림10G</v>
      </c>
      <c r="D144" s="121" t="s">
        <v>315</v>
      </c>
      <c r="E144" s="130" t="s">
        <v>229</v>
      </c>
      <c r="F144" s="213" t="str">
        <f t="shared" si="66"/>
        <v>AIP16PS-128</v>
      </c>
      <c r="G144" s="213" t="str">
        <f>VLOOKUP(F144,출고가!C:D,2,0)</f>
        <v>iPhone 16 Plus 128G</v>
      </c>
      <c r="H144" s="131">
        <f t="shared" si="67"/>
        <v>1122000</v>
      </c>
      <c r="I144" s="176" t="s">
        <v>992</v>
      </c>
      <c r="J144" s="177" t="s">
        <v>1523</v>
      </c>
      <c r="K144" s="178">
        <v>310000</v>
      </c>
      <c r="L144" s="178">
        <v>310000</v>
      </c>
      <c r="M144" s="178">
        <v>310000</v>
      </c>
      <c r="O144" s="124"/>
    </row>
    <row r="145" spans="1:15" s="2" customFormat="1" ht="25.05" customHeight="1">
      <c r="A145" s="115" t="s">
        <v>1405</v>
      </c>
      <c r="B145" s="120">
        <f>VLOOKUP($A145,출고가!$C:$E,3,FALSE)</f>
        <v>1122000</v>
      </c>
      <c r="C145" s="120" t="str">
        <f t="shared" si="34"/>
        <v>AIP16PS-128슬림4G</v>
      </c>
      <c r="D145" s="121" t="s">
        <v>315</v>
      </c>
      <c r="E145" s="130" t="s">
        <v>229</v>
      </c>
      <c r="F145" s="213" t="str">
        <f t="shared" si="66"/>
        <v>AIP16PS-128</v>
      </c>
      <c r="G145" s="213" t="str">
        <f>VLOOKUP(F145,출고가!C:D,2,0)</f>
        <v>iPhone 16 Plus 128G</v>
      </c>
      <c r="H145" s="131">
        <f t="shared" si="67"/>
        <v>1122000</v>
      </c>
      <c r="I145" s="182" t="s">
        <v>990</v>
      </c>
      <c r="J145" s="183" t="s">
        <v>1524</v>
      </c>
      <c r="K145" s="184">
        <v>260000</v>
      </c>
      <c r="L145" s="184">
        <v>260000</v>
      </c>
      <c r="M145" s="184">
        <v>260000</v>
      </c>
      <c r="O145" s="124"/>
    </row>
    <row r="146" spans="1:15" s="2" customFormat="1" ht="25.05" customHeight="1">
      <c r="A146" s="115" t="s">
        <v>1407</v>
      </c>
      <c r="B146" s="120">
        <f>VLOOKUP($A146,출고가!$C:$E,3,FALSE)</f>
        <v>1276000</v>
      </c>
      <c r="C146" s="120" t="str">
        <f t="shared" si="34"/>
        <v>AIP16PS-256베이직</v>
      </c>
      <c r="D146" s="121" t="s">
        <v>315</v>
      </c>
      <c r="E146" s="130" t="s">
        <v>229</v>
      </c>
      <c r="F146" s="213" t="str">
        <f>A146</f>
        <v>AIP16PS-256</v>
      </c>
      <c r="G146" s="213" t="str">
        <f>VLOOKUP(F146,출고가!C:D,2,0)</f>
        <v>iPhone 16 Plus 256G</v>
      </c>
      <c r="H146" s="131">
        <f>B146</f>
        <v>1276000</v>
      </c>
      <c r="I146" s="169" t="s">
        <v>357</v>
      </c>
      <c r="J146" s="170" t="s">
        <v>1521</v>
      </c>
      <c r="K146" s="190">
        <v>450000</v>
      </c>
      <c r="L146" s="190">
        <v>450000</v>
      </c>
      <c r="M146" s="190">
        <v>450000</v>
      </c>
      <c r="O146" s="124"/>
    </row>
    <row r="147" spans="1:15" s="2" customFormat="1" ht="25.05" customHeight="1">
      <c r="A147" s="115" t="s">
        <v>1407</v>
      </c>
      <c r="B147" s="120">
        <f>VLOOKUP($A147,출고가!$C:$E,3,FALSE)</f>
        <v>1276000</v>
      </c>
      <c r="C147" s="120" t="str">
        <f t="shared" si="34"/>
        <v>AIP16PS-256심플30G</v>
      </c>
      <c r="D147" s="121" t="s">
        <v>315</v>
      </c>
      <c r="E147" s="130" t="s">
        <v>229</v>
      </c>
      <c r="F147" s="213" t="str">
        <f t="shared" ref="F147:F149" si="68">A147</f>
        <v>AIP16PS-256</v>
      </c>
      <c r="G147" s="213" t="str">
        <f>VLOOKUP(F147,출고가!C:D,2,0)</f>
        <v>iPhone 16 Plus 256G</v>
      </c>
      <c r="H147" s="131">
        <f t="shared" ref="H147:H149" si="69">B147</f>
        <v>1276000</v>
      </c>
      <c r="I147" s="176" t="s">
        <v>988</v>
      </c>
      <c r="J147" s="177" t="s">
        <v>1522</v>
      </c>
      <c r="K147" s="178">
        <v>380000</v>
      </c>
      <c r="L147" s="178">
        <v>380000</v>
      </c>
      <c r="M147" s="178">
        <v>380000</v>
      </c>
      <c r="O147" s="124"/>
    </row>
    <row r="148" spans="1:15" s="2" customFormat="1" ht="25.05" customHeight="1">
      <c r="A148" s="115" t="s">
        <v>1407</v>
      </c>
      <c r="B148" s="120">
        <f>VLOOKUP($A148,출고가!$C:$E,3,FALSE)</f>
        <v>1276000</v>
      </c>
      <c r="C148" s="120" t="str">
        <f t="shared" si="34"/>
        <v>AIP16PS-256슬림10G</v>
      </c>
      <c r="D148" s="121" t="s">
        <v>315</v>
      </c>
      <c r="E148" s="130" t="s">
        <v>229</v>
      </c>
      <c r="F148" s="213" t="str">
        <f t="shared" si="68"/>
        <v>AIP16PS-256</v>
      </c>
      <c r="G148" s="213" t="str">
        <f>VLOOKUP(F148,출고가!C:D,2,0)</f>
        <v>iPhone 16 Plus 256G</v>
      </c>
      <c r="H148" s="131">
        <f t="shared" si="69"/>
        <v>1276000</v>
      </c>
      <c r="I148" s="176" t="s">
        <v>992</v>
      </c>
      <c r="J148" s="177" t="s">
        <v>1523</v>
      </c>
      <c r="K148" s="178">
        <v>310000</v>
      </c>
      <c r="L148" s="178">
        <v>310000</v>
      </c>
      <c r="M148" s="178">
        <v>310000</v>
      </c>
      <c r="O148" s="124"/>
    </row>
    <row r="149" spans="1:15" s="2" customFormat="1" ht="25.05" customHeight="1">
      <c r="A149" s="115" t="s">
        <v>1407</v>
      </c>
      <c r="B149" s="120">
        <f>VLOOKUP($A149,출고가!$C:$E,3,FALSE)</f>
        <v>1276000</v>
      </c>
      <c r="C149" s="120" t="str">
        <f t="shared" si="34"/>
        <v>AIP16PS-256슬림4G</v>
      </c>
      <c r="D149" s="121" t="s">
        <v>315</v>
      </c>
      <c r="E149" s="130" t="s">
        <v>229</v>
      </c>
      <c r="F149" s="213" t="str">
        <f t="shared" si="68"/>
        <v>AIP16PS-256</v>
      </c>
      <c r="G149" s="213" t="str">
        <f>VLOOKUP(F149,출고가!C:D,2,0)</f>
        <v>iPhone 16 Plus 256G</v>
      </c>
      <c r="H149" s="131">
        <f t="shared" si="69"/>
        <v>1276000</v>
      </c>
      <c r="I149" s="182" t="s">
        <v>990</v>
      </c>
      <c r="J149" s="183" t="s">
        <v>1524</v>
      </c>
      <c r="K149" s="184">
        <v>260000</v>
      </c>
      <c r="L149" s="184">
        <v>260000</v>
      </c>
      <c r="M149" s="184">
        <v>260000</v>
      </c>
      <c r="O149" s="124"/>
    </row>
    <row r="150" spans="1:15" s="2" customFormat="1" ht="25.05" customHeight="1">
      <c r="A150" s="115" t="s">
        <v>1409</v>
      </c>
      <c r="B150" s="120">
        <f>VLOOKUP($A150,출고가!$C:$E,3,FALSE)</f>
        <v>1573000</v>
      </c>
      <c r="C150" s="120" t="str">
        <f t="shared" si="34"/>
        <v>AIP16PS-512베이직</v>
      </c>
      <c r="D150" s="121" t="s">
        <v>315</v>
      </c>
      <c r="E150" s="130" t="s">
        <v>229</v>
      </c>
      <c r="F150" s="213" t="str">
        <f>A150</f>
        <v>AIP16PS-512</v>
      </c>
      <c r="G150" s="213" t="str">
        <f>VLOOKUP(F150,출고가!C:D,2,0)</f>
        <v>iPhone 16 Plus 512G</v>
      </c>
      <c r="H150" s="131">
        <f>B150</f>
        <v>1573000</v>
      </c>
      <c r="I150" s="169" t="s">
        <v>357</v>
      </c>
      <c r="J150" s="170" t="s">
        <v>1521</v>
      </c>
      <c r="K150" s="190">
        <v>450000</v>
      </c>
      <c r="L150" s="190">
        <v>450000</v>
      </c>
      <c r="M150" s="190">
        <v>450000</v>
      </c>
      <c r="O150" s="124"/>
    </row>
    <row r="151" spans="1:15" s="2" customFormat="1" ht="25.05" customHeight="1">
      <c r="A151" s="115" t="s">
        <v>1409</v>
      </c>
      <c r="B151" s="120">
        <f>VLOOKUP($A151,출고가!$C:$E,3,FALSE)</f>
        <v>1573000</v>
      </c>
      <c r="C151" s="120" t="str">
        <f t="shared" si="34"/>
        <v>AIP16PS-512심플30G</v>
      </c>
      <c r="D151" s="121" t="s">
        <v>315</v>
      </c>
      <c r="E151" s="130" t="s">
        <v>229</v>
      </c>
      <c r="F151" s="213" t="str">
        <f t="shared" ref="F151:F153" si="70">A151</f>
        <v>AIP16PS-512</v>
      </c>
      <c r="G151" s="213" t="str">
        <f>VLOOKUP(F151,출고가!C:D,2,0)</f>
        <v>iPhone 16 Plus 512G</v>
      </c>
      <c r="H151" s="131">
        <f t="shared" ref="H151:H153" si="71">B151</f>
        <v>1573000</v>
      </c>
      <c r="I151" s="176" t="s">
        <v>988</v>
      </c>
      <c r="J151" s="177" t="s">
        <v>1522</v>
      </c>
      <c r="K151" s="178">
        <v>380000</v>
      </c>
      <c r="L151" s="178">
        <v>380000</v>
      </c>
      <c r="M151" s="178">
        <v>380000</v>
      </c>
      <c r="O151" s="124"/>
    </row>
    <row r="152" spans="1:15" s="2" customFormat="1" ht="25.05" customHeight="1">
      <c r="A152" s="115" t="s">
        <v>1409</v>
      </c>
      <c r="B152" s="120">
        <f>VLOOKUP($A152,출고가!$C:$E,3,FALSE)</f>
        <v>1573000</v>
      </c>
      <c r="C152" s="120" t="str">
        <f t="shared" si="34"/>
        <v>AIP16PS-512슬림10G</v>
      </c>
      <c r="D152" s="121" t="s">
        <v>315</v>
      </c>
      <c r="E152" s="130" t="s">
        <v>229</v>
      </c>
      <c r="F152" s="213" t="str">
        <f t="shared" si="70"/>
        <v>AIP16PS-512</v>
      </c>
      <c r="G152" s="213" t="str">
        <f>VLOOKUP(F152,출고가!C:D,2,0)</f>
        <v>iPhone 16 Plus 512G</v>
      </c>
      <c r="H152" s="131">
        <f t="shared" si="71"/>
        <v>1573000</v>
      </c>
      <c r="I152" s="176" t="s">
        <v>992</v>
      </c>
      <c r="J152" s="177" t="s">
        <v>1523</v>
      </c>
      <c r="K152" s="178">
        <v>310000</v>
      </c>
      <c r="L152" s="178">
        <v>310000</v>
      </c>
      <c r="M152" s="178">
        <v>310000</v>
      </c>
      <c r="O152" s="124"/>
    </row>
    <row r="153" spans="1:15" s="2" customFormat="1" ht="25.05" customHeight="1">
      <c r="A153" s="115" t="s">
        <v>1409</v>
      </c>
      <c r="B153" s="120">
        <f>VLOOKUP($A153,출고가!$C:$E,3,FALSE)</f>
        <v>1573000</v>
      </c>
      <c r="C153" s="120" t="str">
        <f t="shared" ref="C153:C216" si="72">A153&amp;I153</f>
        <v>AIP16PS-512슬림4G</v>
      </c>
      <c r="D153" s="121" t="s">
        <v>315</v>
      </c>
      <c r="E153" s="130" t="s">
        <v>229</v>
      </c>
      <c r="F153" s="213" t="str">
        <f t="shared" si="70"/>
        <v>AIP16PS-512</v>
      </c>
      <c r="G153" s="213" t="str">
        <f>VLOOKUP(F153,출고가!C:D,2,0)</f>
        <v>iPhone 16 Plus 512G</v>
      </c>
      <c r="H153" s="131">
        <f t="shared" si="71"/>
        <v>1573000</v>
      </c>
      <c r="I153" s="182" t="s">
        <v>990</v>
      </c>
      <c r="J153" s="183" t="s">
        <v>1524</v>
      </c>
      <c r="K153" s="184">
        <v>260000</v>
      </c>
      <c r="L153" s="184">
        <v>260000</v>
      </c>
      <c r="M153" s="184">
        <v>260000</v>
      </c>
      <c r="O153" s="124"/>
    </row>
    <row r="154" spans="1:15" s="2" customFormat="1" ht="25.05" customHeight="1">
      <c r="A154" s="115" t="s">
        <v>1410</v>
      </c>
      <c r="B154" s="120">
        <f>VLOOKUP($A154,출고가!$C:$E,3,FALSE)</f>
        <v>1320000</v>
      </c>
      <c r="C154" s="120" t="str">
        <f t="shared" si="72"/>
        <v>AIP16P-128베이직</v>
      </c>
      <c r="D154" s="121" t="s">
        <v>315</v>
      </c>
      <c r="E154" s="130" t="s">
        <v>229</v>
      </c>
      <c r="F154" s="213" t="str">
        <f>A154</f>
        <v>AIP16P-128</v>
      </c>
      <c r="G154" s="213" t="str">
        <f>VLOOKUP(F154,출고가!C:D,2,0)</f>
        <v>iPhone 16 Pro 128G</v>
      </c>
      <c r="H154" s="131">
        <f>B154</f>
        <v>1320000</v>
      </c>
      <c r="I154" s="169" t="s">
        <v>357</v>
      </c>
      <c r="J154" s="170" t="s">
        <v>1521</v>
      </c>
      <c r="K154" s="190">
        <v>420000</v>
      </c>
      <c r="L154" s="190">
        <v>420000</v>
      </c>
      <c r="M154" s="190">
        <v>420000</v>
      </c>
      <c r="O154" s="124"/>
    </row>
    <row r="155" spans="1:15" s="2" customFormat="1" ht="25.05" customHeight="1">
      <c r="A155" s="115" t="s">
        <v>1410</v>
      </c>
      <c r="B155" s="120">
        <f>VLOOKUP($A155,출고가!$C:$E,3,FALSE)</f>
        <v>1320000</v>
      </c>
      <c r="C155" s="120" t="str">
        <f t="shared" si="72"/>
        <v>AIP16P-128심플30G</v>
      </c>
      <c r="D155" s="121" t="s">
        <v>315</v>
      </c>
      <c r="E155" s="130" t="s">
        <v>229</v>
      </c>
      <c r="F155" s="213" t="str">
        <f t="shared" ref="F155:F157" si="73">A155</f>
        <v>AIP16P-128</v>
      </c>
      <c r="G155" s="213" t="str">
        <f>VLOOKUP(F155,출고가!C:D,2,0)</f>
        <v>iPhone 16 Pro 128G</v>
      </c>
      <c r="H155" s="131">
        <f t="shared" ref="H155:H157" si="74">B155</f>
        <v>1320000</v>
      </c>
      <c r="I155" s="176" t="s">
        <v>988</v>
      </c>
      <c r="J155" s="177" t="s">
        <v>1522</v>
      </c>
      <c r="K155" s="178">
        <v>350000</v>
      </c>
      <c r="L155" s="178">
        <v>350000</v>
      </c>
      <c r="M155" s="178">
        <v>350000</v>
      </c>
      <c r="O155" s="124"/>
    </row>
    <row r="156" spans="1:15" s="2" customFormat="1" ht="25.05" customHeight="1">
      <c r="A156" s="115" t="s">
        <v>1410</v>
      </c>
      <c r="B156" s="120">
        <f>VLOOKUP($A156,출고가!$C:$E,3,FALSE)</f>
        <v>1320000</v>
      </c>
      <c r="C156" s="120" t="str">
        <f t="shared" si="72"/>
        <v>AIP16P-128슬림10G</v>
      </c>
      <c r="D156" s="121" t="s">
        <v>315</v>
      </c>
      <c r="E156" s="130" t="s">
        <v>229</v>
      </c>
      <c r="F156" s="213" t="str">
        <f t="shared" si="73"/>
        <v>AIP16P-128</v>
      </c>
      <c r="G156" s="213" t="str">
        <f>VLOOKUP(F156,출고가!C:D,2,0)</f>
        <v>iPhone 16 Pro 128G</v>
      </c>
      <c r="H156" s="131">
        <f t="shared" si="74"/>
        <v>1320000</v>
      </c>
      <c r="I156" s="176" t="s">
        <v>992</v>
      </c>
      <c r="J156" s="177" t="s">
        <v>1523</v>
      </c>
      <c r="K156" s="178">
        <v>280000</v>
      </c>
      <c r="L156" s="178">
        <v>280000</v>
      </c>
      <c r="M156" s="178">
        <v>280000</v>
      </c>
      <c r="O156" s="124"/>
    </row>
    <row r="157" spans="1:15" s="2" customFormat="1" ht="25.05" customHeight="1">
      <c r="A157" s="115" t="s">
        <v>1410</v>
      </c>
      <c r="B157" s="120">
        <f>VLOOKUP($A157,출고가!$C:$E,3,FALSE)</f>
        <v>1320000</v>
      </c>
      <c r="C157" s="120" t="str">
        <f t="shared" si="72"/>
        <v>AIP16P-128슬림4G</v>
      </c>
      <c r="D157" s="121" t="s">
        <v>315</v>
      </c>
      <c r="E157" s="130" t="s">
        <v>229</v>
      </c>
      <c r="F157" s="213" t="str">
        <f t="shared" si="73"/>
        <v>AIP16P-128</v>
      </c>
      <c r="G157" s="213" t="str">
        <f>VLOOKUP(F157,출고가!C:D,2,0)</f>
        <v>iPhone 16 Pro 128G</v>
      </c>
      <c r="H157" s="131">
        <f t="shared" si="74"/>
        <v>1320000</v>
      </c>
      <c r="I157" s="182" t="s">
        <v>990</v>
      </c>
      <c r="J157" s="183" t="s">
        <v>1524</v>
      </c>
      <c r="K157" s="184">
        <v>230000</v>
      </c>
      <c r="L157" s="184">
        <v>230000</v>
      </c>
      <c r="M157" s="184">
        <v>230000</v>
      </c>
      <c r="O157" s="124"/>
    </row>
    <row r="158" spans="1:15" s="2" customFormat="1" ht="25.05" customHeight="1">
      <c r="A158" s="115" t="s">
        <v>1411</v>
      </c>
      <c r="B158" s="120">
        <f>VLOOKUP($A158,출고가!$C:$E,3,FALSE)</f>
        <v>1474000</v>
      </c>
      <c r="C158" s="120" t="str">
        <f t="shared" si="72"/>
        <v>AIP16P-256베이직</v>
      </c>
      <c r="D158" s="121" t="s">
        <v>315</v>
      </c>
      <c r="E158" s="130" t="s">
        <v>229</v>
      </c>
      <c r="F158" s="213" t="str">
        <f>A158</f>
        <v>AIP16P-256</v>
      </c>
      <c r="G158" s="213" t="str">
        <f>VLOOKUP(F158,출고가!C:D,2,0)</f>
        <v>iPhone 16 Pro 256G</v>
      </c>
      <c r="H158" s="131">
        <f>B158</f>
        <v>1474000</v>
      </c>
      <c r="I158" s="169" t="s">
        <v>357</v>
      </c>
      <c r="J158" s="170" t="s">
        <v>1521</v>
      </c>
      <c r="K158" s="190">
        <v>420000</v>
      </c>
      <c r="L158" s="190">
        <v>420000</v>
      </c>
      <c r="M158" s="190">
        <v>420000</v>
      </c>
      <c r="O158" s="124"/>
    </row>
    <row r="159" spans="1:15" s="2" customFormat="1" ht="25.05" customHeight="1">
      <c r="A159" s="115" t="s">
        <v>1411</v>
      </c>
      <c r="B159" s="120">
        <f>VLOOKUP($A159,출고가!$C:$E,3,FALSE)</f>
        <v>1474000</v>
      </c>
      <c r="C159" s="120" t="str">
        <f t="shared" si="72"/>
        <v>AIP16P-256심플30G</v>
      </c>
      <c r="D159" s="121" t="s">
        <v>315</v>
      </c>
      <c r="E159" s="130" t="s">
        <v>229</v>
      </c>
      <c r="F159" s="213" t="str">
        <f t="shared" ref="F159:F161" si="75">A159</f>
        <v>AIP16P-256</v>
      </c>
      <c r="G159" s="213" t="str">
        <f>VLOOKUP(F159,출고가!C:D,2,0)</f>
        <v>iPhone 16 Pro 256G</v>
      </c>
      <c r="H159" s="131">
        <f t="shared" ref="H159:H161" si="76">B159</f>
        <v>1474000</v>
      </c>
      <c r="I159" s="176" t="s">
        <v>988</v>
      </c>
      <c r="J159" s="177" t="s">
        <v>1522</v>
      </c>
      <c r="K159" s="178">
        <v>350000</v>
      </c>
      <c r="L159" s="178">
        <v>350000</v>
      </c>
      <c r="M159" s="178">
        <v>350000</v>
      </c>
      <c r="O159" s="124"/>
    </row>
    <row r="160" spans="1:15" s="2" customFormat="1" ht="25.05" customHeight="1">
      <c r="A160" s="115" t="s">
        <v>1411</v>
      </c>
      <c r="B160" s="120">
        <f>VLOOKUP($A160,출고가!$C:$E,3,FALSE)</f>
        <v>1474000</v>
      </c>
      <c r="C160" s="120" t="str">
        <f t="shared" si="72"/>
        <v>AIP16P-256슬림10G</v>
      </c>
      <c r="D160" s="121" t="s">
        <v>315</v>
      </c>
      <c r="E160" s="130" t="s">
        <v>229</v>
      </c>
      <c r="F160" s="213" t="str">
        <f t="shared" si="75"/>
        <v>AIP16P-256</v>
      </c>
      <c r="G160" s="213" t="str">
        <f>VLOOKUP(F160,출고가!C:D,2,0)</f>
        <v>iPhone 16 Pro 256G</v>
      </c>
      <c r="H160" s="131">
        <f t="shared" si="76"/>
        <v>1474000</v>
      </c>
      <c r="I160" s="176" t="s">
        <v>992</v>
      </c>
      <c r="J160" s="177" t="s">
        <v>1523</v>
      </c>
      <c r="K160" s="178">
        <v>280000</v>
      </c>
      <c r="L160" s="178">
        <v>280000</v>
      </c>
      <c r="M160" s="178">
        <v>280000</v>
      </c>
      <c r="O160" s="124"/>
    </row>
    <row r="161" spans="1:15" s="2" customFormat="1" ht="25.05" customHeight="1">
      <c r="A161" s="115" t="s">
        <v>1411</v>
      </c>
      <c r="B161" s="120">
        <f>VLOOKUP($A161,출고가!$C:$E,3,FALSE)</f>
        <v>1474000</v>
      </c>
      <c r="C161" s="120" t="str">
        <f t="shared" si="72"/>
        <v>AIP16P-256슬림4G</v>
      </c>
      <c r="D161" s="121" t="s">
        <v>315</v>
      </c>
      <c r="E161" s="130" t="s">
        <v>229</v>
      </c>
      <c r="F161" s="213" t="str">
        <f t="shared" si="75"/>
        <v>AIP16P-256</v>
      </c>
      <c r="G161" s="213" t="str">
        <f>VLOOKUP(F161,출고가!C:D,2,0)</f>
        <v>iPhone 16 Pro 256G</v>
      </c>
      <c r="H161" s="131">
        <f t="shared" si="76"/>
        <v>1474000</v>
      </c>
      <c r="I161" s="182" t="s">
        <v>990</v>
      </c>
      <c r="J161" s="183" t="s">
        <v>1524</v>
      </c>
      <c r="K161" s="184">
        <v>230000</v>
      </c>
      <c r="L161" s="184">
        <v>230000</v>
      </c>
      <c r="M161" s="184">
        <v>230000</v>
      </c>
      <c r="O161" s="124"/>
    </row>
    <row r="162" spans="1:15" s="2" customFormat="1" ht="25.05" customHeight="1">
      <c r="A162" s="115" t="s">
        <v>1412</v>
      </c>
      <c r="B162" s="120">
        <f>VLOOKUP($A162,출고가!$C:$E,3,FALSE)</f>
        <v>1771000</v>
      </c>
      <c r="C162" s="120" t="str">
        <f t="shared" si="72"/>
        <v>AIP16P-512베이직</v>
      </c>
      <c r="D162" s="121" t="s">
        <v>315</v>
      </c>
      <c r="E162" s="130" t="s">
        <v>229</v>
      </c>
      <c r="F162" s="213" t="str">
        <f>A162</f>
        <v>AIP16P-512</v>
      </c>
      <c r="G162" s="213" t="str">
        <f>VLOOKUP(F162,출고가!C:D,2,0)</f>
        <v>iPhone 16 Pro 512G</v>
      </c>
      <c r="H162" s="131">
        <f>B162</f>
        <v>1771000</v>
      </c>
      <c r="I162" s="169" t="s">
        <v>357</v>
      </c>
      <c r="J162" s="170" t="s">
        <v>1521</v>
      </c>
      <c r="K162" s="190">
        <v>420000</v>
      </c>
      <c r="L162" s="190">
        <v>420000</v>
      </c>
      <c r="M162" s="190">
        <v>420000</v>
      </c>
      <c r="O162" s="124"/>
    </row>
    <row r="163" spans="1:15" s="2" customFormat="1" ht="25.05" customHeight="1">
      <c r="A163" s="115" t="s">
        <v>1412</v>
      </c>
      <c r="B163" s="120">
        <f>VLOOKUP($A163,출고가!$C:$E,3,FALSE)</f>
        <v>1771000</v>
      </c>
      <c r="C163" s="120" t="str">
        <f t="shared" si="72"/>
        <v>AIP16P-512심플30G</v>
      </c>
      <c r="D163" s="121" t="s">
        <v>315</v>
      </c>
      <c r="E163" s="130" t="s">
        <v>229</v>
      </c>
      <c r="F163" s="213" t="str">
        <f t="shared" ref="F163:F165" si="77">A163</f>
        <v>AIP16P-512</v>
      </c>
      <c r="G163" s="213" t="str">
        <f>VLOOKUP(F163,출고가!C:D,2,0)</f>
        <v>iPhone 16 Pro 512G</v>
      </c>
      <c r="H163" s="131">
        <f t="shared" ref="H163:H165" si="78">B163</f>
        <v>1771000</v>
      </c>
      <c r="I163" s="176" t="s">
        <v>988</v>
      </c>
      <c r="J163" s="177" t="s">
        <v>1522</v>
      </c>
      <c r="K163" s="178">
        <v>350000</v>
      </c>
      <c r="L163" s="178">
        <v>350000</v>
      </c>
      <c r="M163" s="178">
        <v>350000</v>
      </c>
      <c r="O163" s="124"/>
    </row>
    <row r="164" spans="1:15" s="2" customFormat="1" ht="25.05" customHeight="1">
      <c r="A164" s="115" t="s">
        <v>1412</v>
      </c>
      <c r="B164" s="120">
        <f>VLOOKUP($A164,출고가!$C:$E,3,FALSE)</f>
        <v>1771000</v>
      </c>
      <c r="C164" s="120" t="str">
        <f t="shared" si="72"/>
        <v>AIP16P-512슬림10G</v>
      </c>
      <c r="D164" s="121" t="s">
        <v>315</v>
      </c>
      <c r="E164" s="130" t="s">
        <v>229</v>
      </c>
      <c r="F164" s="213" t="str">
        <f t="shared" si="77"/>
        <v>AIP16P-512</v>
      </c>
      <c r="G164" s="213" t="str">
        <f>VLOOKUP(F164,출고가!C:D,2,0)</f>
        <v>iPhone 16 Pro 512G</v>
      </c>
      <c r="H164" s="131">
        <f t="shared" si="78"/>
        <v>1771000</v>
      </c>
      <c r="I164" s="176" t="s">
        <v>992</v>
      </c>
      <c r="J164" s="177" t="s">
        <v>1523</v>
      </c>
      <c r="K164" s="178">
        <v>280000</v>
      </c>
      <c r="L164" s="178">
        <v>280000</v>
      </c>
      <c r="M164" s="178">
        <v>280000</v>
      </c>
      <c r="O164" s="124"/>
    </row>
    <row r="165" spans="1:15" s="2" customFormat="1" ht="25.05" customHeight="1">
      <c r="A165" s="115" t="s">
        <v>1412</v>
      </c>
      <c r="B165" s="120">
        <f>VLOOKUP($A165,출고가!$C:$E,3,FALSE)</f>
        <v>1771000</v>
      </c>
      <c r="C165" s="120" t="str">
        <f t="shared" si="72"/>
        <v>AIP16P-512슬림4G</v>
      </c>
      <c r="D165" s="121" t="s">
        <v>315</v>
      </c>
      <c r="E165" s="130" t="s">
        <v>229</v>
      </c>
      <c r="F165" s="213" t="str">
        <f t="shared" si="77"/>
        <v>AIP16P-512</v>
      </c>
      <c r="G165" s="213" t="str">
        <f>VLOOKUP(F165,출고가!C:D,2,0)</f>
        <v>iPhone 16 Pro 512G</v>
      </c>
      <c r="H165" s="131">
        <f t="shared" si="78"/>
        <v>1771000</v>
      </c>
      <c r="I165" s="182" t="s">
        <v>990</v>
      </c>
      <c r="J165" s="183" t="s">
        <v>1524</v>
      </c>
      <c r="K165" s="184">
        <v>230000</v>
      </c>
      <c r="L165" s="184">
        <v>230000</v>
      </c>
      <c r="M165" s="184">
        <v>230000</v>
      </c>
      <c r="O165" s="124"/>
    </row>
    <row r="166" spans="1:15" s="2" customFormat="1" ht="25.05" customHeight="1">
      <c r="A166" s="115" t="s">
        <v>1413</v>
      </c>
      <c r="B166" s="120">
        <f>VLOOKUP($A166,출고가!$C:$E,3,FALSE)</f>
        <v>1672000</v>
      </c>
      <c r="C166" s="120" t="str">
        <f t="shared" si="72"/>
        <v>AIP16PM-256베이직</v>
      </c>
      <c r="D166" s="121" t="s">
        <v>315</v>
      </c>
      <c r="E166" s="130" t="s">
        <v>229</v>
      </c>
      <c r="F166" s="213" t="str">
        <f>A166</f>
        <v>AIP16PM-256</v>
      </c>
      <c r="G166" s="213" t="str">
        <f>VLOOKUP(F166,출고가!C:D,2,0)</f>
        <v>iPhone 16 Pro Max 256G</v>
      </c>
      <c r="H166" s="131">
        <f>B166</f>
        <v>1672000</v>
      </c>
      <c r="I166" s="169" t="s">
        <v>357</v>
      </c>
      <c r="J166" s="170" t="s">
        <v>1521</v>
      </c>
      <c r="K166" s="190">
        <v>420000</v>
      </c>
      <c r="L166" s="190">
        <v>420000</v>
      </c>
      <c r="M166" s="190">
        <v>420000</v>
      </c>
      <c r="O166" s="124"/>
    </row>
    <row r="167" spans="1:15" s="2" customFormat="1" ht="25.05" customHeight="1">
      <c r="A167" s="115" t="s">
        <v>1413</v>
      </c>
      <c r="B167" s="120">
        <f>VLOOKUP($A167,출고가!$C:$E,3,FALSE)</f>
        <v>1672000</v>
      </c>
      <c r="C167" s="120" t="str">
        <f t="shared" si="72"/>
        <v>AIP16PM-256심플30G</v>
      </c>
      <c r="D167" s="121" t="s">
        <v>315</v>
      </c>
      <c r="E167" s="130" t="s">
        <v>229</v>
      </c>
      <c r="F167" s="213" t="str">
        <f t="shared" ref="F167:F169" si="79">A167</f>
        <v>AIP16PM-256</v>
      </c>
      <c r="G167" s="213" t="str">
        <f>VLOOKUP(F167,출고가!C:D,2,0)</f>
        <v>iPhone 16 Pro Max 256G</v>
      </c>
      <c r="H167" s="131">
        <f t="shared" ref="H167:H169" si="80">B167</f>
        <v>1672000</v>
      </c>
      <c r="I167" s="176" t="s">
        <v>988</v>
      </c>
      <c r="J167" s="177" t="s">
        <v>1522</v>
      </c>
      <c r="K167" s="178">
        <v>350000</v>
      </c>
      <c r="L167" s="178">
        <v>350000</v>
      </c>
      <c r="M167" s="178">
        <v>350000</v>
      </c>
      <c r="O167" s="124"/>
    </row>
    <row r="168" spans="1:15" s="2" customFormat="1" ht="25.05" customHeight="1">
      <c r="A168" s="115" t="s">
        <v>1413</v>
      </c>
      <c r="B168" s="120">
        <f>VLOOKUP($A168,출고가!$C:$E,3,FALSE)</f>
        <v>1672000</v>
      </c>
      <c r="C168" s="120" t="str">
        <f t="shared" si="72"/>
        <v>AIP16PM-256슬림10G</v>
      </c>
      <c r="D168" s="121" t="s">
        <v>315</v>
      </c>
      <c r="E168" s="130" t="s">
        <v>229</v>
      </c>
      <c r="F168" s="213" t="str">
        <f t="shared" si="79"/>
        <v>AIP16PM-256</v>
      </c>
      <c r="G168" s="213" t="str">
        <f>VLOOKUP(F168,출고가!C:D,2,0)</f>
        <v>iPhone 16 Pro Max 256G</v>
      </c>
      <c r="H168" s="131">
        <f t="shared" si="80"/>
        <v>1672000</v>
      </c>
      <c r="I168" s="176" t="s">
        <v>992</v>
      </c>
      <c r="J168" s="177" t="s">
        <v>1523</v>
      </c>
      <c r="K168" s="178">
        <v>280000</v>
      </c>
      <c r="L168" s="178">
        <v>280000</v>
      </c>
      <c r="M168" s="178">
        <v>280000</v>
      </c>
      <c r="O168" s="124"/>
    </row>
    <row r="169" spans="1:15" s="2" customFormat="1" ht="25.05" customHeight="1">
      <c r="A169" s="115" t="s">
        <v>1413</v>
      </c>
      <c r="B169" s="120">
        <f>VLOOKUP($A169,출고가!$C:$E,3,FALSE)</f>
        <v>1672000</v>
      </c>
      <c r="C169" s="120" t="str">
        <f t="shared" si="72"/>
        <v>AIP16PM-256슬림4G</v>
      </c>
      <c r="D169" s="121" t="s">
        <v>315</v>
      </c>
      <c r="E169" s="130" t="s">
        <v>229</v>
      </c>
      <c r="F169" s="213" t="str">
        <f t="shared" si="79"/>
        <v>AIP16PM-256</v>
      </c>
      <c r="G169" s="213" t="str">
        <f>VLOOKUP(F169,출고가!C:D,2,0)</f>
        <v>iPhone 16 Pro Max 256G</v>
      </c>
      <c r="H169" s="131">
        <f t="shared" si="80"/>
        <v>1672000</v>
      </c>
      <c r="I169" s="182" t="s">
        <v>990</v>
      </c>
      <c r="J169" s="183" t="s">
        <v>1524</v>
      </c>
      <c r="K169" s="184">
        <v>230000</v>
      </c>
      <c r="L169" s="184">
        <v>230000</v>
      </c>
      <c r="M169" s="184">
        <v>230000</v>
      </c>
      <c r="O169" s="124"/>
    </row>
    <row r="170" spans="1:15" s="2" customFormat="1" ht="25.05" customHeight="1">
      <c r="A170" s="115" t="s">
        <v>1414</v>
      </c>
      <c r="B170" s="120">
        <f>VLOOKUP($A170,출고가!$C:$E,3,FALSE)</f>
        <v>1980000</v>
      </c>
      <c r="C170" s="120" t="str">
        <f t="shared" si="72"/>
        <v>AIP16PM-512베이직</v>
      </c>
      <c r="D170" s="121" t="s">
        <v>315</v>
      </c>
      <c r="E170" s="130" t="s">
        <v>229</v>
      </c>
      <c r="F170" s="213" t="str">
        <f>A170</f>
        <v>AIP16PM-512</v>
      </c>
      <c r="G170" s="213" t="str">
        <f>VLOOKUP(F170,출고가!C:D,2,0)</f>
        <v>iPhone 16 Pro Max 512G</v>
      </c>
      <c r="H170" s="131">
        <f>B170</f>
        <v>1980000</v>
      </c>
      <c r="I170" s="169" t="s">
        <v>357</v>
      </c>
      <c r="J170" s="170" t="s">
        <v>1521</v>
      </c>
      <c r="K170" s="190">
        <v>420000</v>
      </c>
      <c r="L170" s="190">
        <v>420000</v>
      </c>
      <c r="M170" s="190">
        <v>420000</v>
      </c>
      <c r="O170" s="124"/>
    </row>
    <row r="171" spans="1:15" s="2" customFormat="1" ht="25.05" customHeight="1">
      <c r="A171" s="115" t="s">
        <v>1414</v>
      </c>
      <c r="B171" s="120">
        <f>VLOOKUP($A171,출고가!$C:$E,3,FALSE)</f>
        <v>1980000</v>
      </c>
      <c r="C171" s="120" t="str">
        <f t="shared" si="72"/>
        <v>AIP16PM-512심플30G</v>
      </c>
      <c r="D171" s="121" t="s">
        <v>315</v>
      </c>
      <c r="E171" s="130" t="s">
        <v>229</v>
      </c>
      <c r="F171" s="213" t="str">
        <f t="shared" ref="F171:F173" si="81">A171</f>
        <v>AIP16PM-512</v>
      </c>
      <c r="G171" s="213" t="str">
        <f>VLOOKUP(F171,출고가!C:D,2,0)</f>
        <v>iPhone 16 Pro Max 512G</v>
      </c>
      <c r="H171" s="131">
        <f t="shared" ref="H171:H173" si="82">B171</f>
        <v>1980000</v>
      </c>
      <c r="I171" s="176" t="s">
        <v>988</v>
      </c>
      <c r="J171" s="177" t="s">
        <v>1522</v>
      </c>
      <c r="K171" s="178">
        <v>350000</v>
      </c>
      <c r="L171" s="178">
        <v>350000</v>
      </c>
      <c r="M171" s="178">
        <v>350000</v>
      </c>
      <c r="O171" s="124"/>
    </row>
    <row r="172" spans="1:15" s="2" customFormat="1" ht="25.05" customHeight="1">
      <c r="A172" s="115" t="s">
        <v>1414</v>
      </c>
      <c r="B172" s="120">
        <f>VLOOKUP($A172,출고가!$C:$E,3,FALSE)</f>
        <v>1980000</v>
      </c>
      <c r="C172" s="120" t="str">
        <f t="shared" si="72"/>
        <v>AIP16PM-512슬림10G</v>
      </c>
      <c r="D172" s="121" t="s">
        <v>315</v>
      </c>
      <c r="E172" s="130" t="s">
        <v>229</v>
      </c>
      <c r="F172" s="213" t="str">
        <f t="shared" si="81"/>
        <v>AIP16PM-512</v>
      </c>
      <c r="G172" s="213" t="str">
        <f>VLOOKUP(F172,출고가!C:D,2,0)</f>
        <v>iPhone 16 Pro Max 512G</v>
      </c>
      <c r="H172" s="131">
        <f t="shared" si="82"/>
        <v>1980000</v>
      </c>
      <c r="I172" s="176" t="s">
        <v>992</v>
      </c>
      <c r="J172" s="177" t="s">
        <v>1523</v>
      </c>
      <c r="K172" s="178">
        <v>280000</v>
      </c>
      <c r="L172" s="178">
        <v>280000</v>
      </c>
      <c r="M172" s="178">
        <v>280000</v>
      </c>
      <c r="O172" s="124"/>
    </row>
    <row r="173" spans="1:15" s="2" customFormat="1" ht="25.05" customHeight="1">
      <c r="A173" s="115" t="s">
        <v>1414</v>
      </c>
      <c r="B173" s="120">
        <f>VLOOKUP($A173,출고가!$C:$E,3,FALSE)</f>
        <v>1980000</v>
      </c>
      <c r="C173" s="120" t="str">
        <f t="shared" si="72"/>
        <v>AIP16PM-512슬림4G</v>
      </c>
      <c r="D173" s="121" t="s">
        <v>315</v>
      </c>
      <c r="E173" s="130" t="s">
        <v>229</v>
      </c>
      <c r="F173" s="213" t="str">
        <f t="shared" si="81"/>
        <v>AIP16PM-512</v>
      </c>
      <c r="G173" s="213" t="str">
        <f>VLOOKUP(F173,출고가!C:D,2,0)</f>
        <v>iPhone 16 Pro Max 512G</v>
      </c>
      <c r="H173" s="131">
        <f t="shared" si="82"/>
        <v>1980000</v>
      </c>
      <c r="I173" s="182" t="s">
        <v>990</v>
      </c>
      <c r="J173" s="183" t="s">
        <v>1524</v>
      </c>
      <c r="K173" s="184">
        <v>230000</v>
      </c>
      <c r="L173" s="184">
        <v>230000</v>
      </c>
      <c r="M173" s="184">
        <v>230000</v>
      </c>
      <c r="O173" s="124"/>
    </row>
    <row r="174" spans="1:15" s="2" customFormat="1" ht="25.05" customHeight="1">
      <c r="A174" s="115" t="s">
        <v>735</v>
      </c>
      <c r="B174" s="120">
        <f>VLOOKUP($A174,출고가!$C:$E,3,FALSE)</f>
        <v>1023000</v>
      </c>
      <c r="C174" s="120" t="str">
        <f t="shared" si="72"/>
        <v>AIP15-128베이직</v>
      </c>
      <c r="D174" s="121" t="s">
        <v>315</v>
      </c>
      <c r="E174" s="130" t="s">
        <v>229</v>
      </c>
      <c r="F174" s="213" t="str">
        <f>A174</f>
        <v>AIP15-128</v>
      </c>
      <c r="G174" s="213" t="str">
        <f>VLOOKUP(F174,출고가!C:D,2,0)</f>
        <v>iPhone 15 128G</v>
      </c>
      <c r="H174" s="131">
        <f>B174</f>
        <v>1023000</v>
      </c>
      <c r="I174" s="169" t="s">
        <v>357</v>
      </c>
      <c r="J174" s="170" t="s">
        <v>1521</v>
      </c>
      <c r="K174" s="190">
        <v>530000</v>
      </c>
      <c r="L174" s="190">
        <v>530000</v>
      </c>
      <c r="M174" s="190">
        <v>530000</v>
      </c>
      <c r="O174" s="124"/>
    </row>
    <row r="175" spans="1:15" s="2" customFormat="1" ht="25.05" customHeight="1">
      <c r="A175" s="115" t="s">
        <v>735</v>
      </c>
      <c r="B175" s="120">
        <f>VLOOKUP($A175,출고가!$C:$E,3,FALSE)</f>
        <v>1023000</v>
      </c>
      <c r="C175" s="120" t="str">
        <f t="shared" si="72"/>
        <v>AIP15-128심플30G</v>
      </c>
      <c r="D175" s="121" t="s">
        <v>315</v>
      </c>
      <c r="E175" s="130" t="s">
        <v>229</v>
      </c>
      <c r="F175" s="213" t="str">
        <f t="shared" ref="F175:F177" si="83">A175</f>
        <v>AIP15-128</v>
      </c>
      <c r="G175" s="213" t="str">
        <f>VLOOKUP(F175,출고가!C:D,2,0)</f>
        <v>iPhone 15 128G</v>
      </c>
      <c r="H175" s="131">
        <f t="shared" ref="H175:H177" si="84">B175</f>
        <v>1023000</v>
      </c>
      <c r="I175" s="176" t="s">
        <v>988</v>
      </c>
      <c r="J175" s="177" t="s">
        <v>1522</v>
      </c>
      <c r="K175" s="178">
        <v>480000</v>
      </c>
      <c r="L175" s="178">
        <v>480000</v>
      </c>
      <c r="M175" s="178">
        <v>480000</v>
      </c>
      <c r="O175" s="124"/>
    </row>
    <row r="176" spans="1:15" s="2" customFormat="1" ht="25.05" customHeight="1">
      <c r="A176" s="115" t="s">
        <v>735</v>
      </c>
      <c r="B176" s="120">
        <f>VLOOKUP($A176,출고가!$C:$E,3,FALSE)</f>
        <v>1023000</v>
      </c>
      <c r="C176" s="120" t="str">
        <f t="shared" si="72"/>
        <v>AIP15-128슬림10G</v>
      </c>
      <c r="D176" s="121" t="s">
        <v>315</v>
      </c>
      <c r="E176" s="130" t="s">
        <v>229</v>
      </c>
      <c r="F176" s="213" t="str">
        <f t="shared" si="83"/>
        <v>AIP15-128</v>
      </c>
      <c r="G176" s="213" t="str">
        <f>VLOOKUP(F176,출고가!C:D,2,0)</f>
        <v>iPhone 15 128G</v>
      </c>
      <c r="H176" s="131">
        <f t="shared" si="84"/>
        <v>1023000</v>
      </c>
      <c r="I176" s="176" t="s">
        <v>992</v>
      </c>
      <c r="J176" s="177" t="s">
        <v>1523</v>
      </c>
      <c r="K176" s="178">
        <v>430000</v>
      </c>
      <c r="L176" s="178">
        <v>430000</v>
      </c>
      <c r="M176" s="178">
        <v>430000</v>
      </c>
      <c r="O176" s="124"/>
    </row>
    <row r="177" spans="1:15" s="2" customFormat="1" ht="24" customHeight="1">
      <c r="A177" s="115" t="s">
        <v>735</v>
      </c>
      <c r="B177" s="120">
        <f>VLOOKUP($A177,출고가!$C:$E,3,FALSE)</f>
        <v>1023000</v>
      </c>
      <c r="C177" s="120" t="str">
        <f t="shared" si="72"/>
        <v>AIP15-128슬림4G</v>
      </c>
      <c r="D177" s="121" t="s">
        <v>315</v>
      </c>
      <c r="E177" s="130" t="s">
        <v>229</v>
      </c>
      <c r="F177" s="213" t="str">
        <f t="shared" si="83"/>
        <v>AIP15-128</v>
      </c>
      <c r="G177" s="213" t="str">
        <f>VLOOKUP(F177,출고가!C:D,2,0)</f>
        <v>iPhone 15 128G</v>
      </c>
      <c r="H177" s="131">
        <f t="shared" si="84"/>
        <v>1023000</v>
      </c>
      <c r="I177" s="182" t="s">
        <v>990</v>
      </c>
      <c r="J177" s="183" t="s">
        <v>1524</v>
      </c>
      <c r="K177" s="184">
        <v>350000</v>
      </c>
      <c r="L177" s="184">
        <v>350000</v>
      </c>
      <c r="M177" s="184">
        <v>350000</v>
      </c>
      <c r="O177" s="124"/>
    </row>
    <row r="178" spans="1:15" s="2" customFormat="1" ht="25.05" customHeight="1">
      <c r="A178" s="115" t="s">
        <v>737</v>
      </c>
      <c r="B178" s="120">
        <f>VLOOKUP($A178,출고가!$C:$E,3,FALSE)</f>
        <v>1177000</v>
      </c>
      <c r="C178" s="120" t="str">
        <f t="shared" si="72"/>
        <v>AIP15-256베이직</v>
      </c>
      <c r="D178" s="121" t="s">
        <v>315</v>
      </c>
      <c r="E178" s="130" t="s">
        <v>229</v>
      </c>
      <c r="F178" s="213" t="str">
        <f>A178</f>
        <v>AIP15-256</v>
      </c>
      <c r="G178" s="213" t="str">
        <f>VLOOKUP(F178,출고가!C:D,2,0)</f>
        <v>iPhone 15 256G</v>
      </c>
      <c r="H178" s="131">
        <f>B178</f>
        <v>1177000</v>
      </c>
      <c r="I178" s="169" t="s">
        <v>357</v>
      </c>
      <c r="J178" s="170" t="s">
        <v>1521</v>
      </c>
      <c r="K178" s="190">
        <v>530000</v>
      </c>
      <c r="L178" s="190">
        <v>530000</v>
      </c>
      <c r="M178" s="190">
        <v>530000</v>
      </c>
      <c r="O178" s="124"/>
    </row>
    <row r="179" spans="1:15" s="2" customFormat="1" ht="25.05" customHeight="1">
      <c r="A179" s="115" t="s">
        <v>737</v>
      </c>
      <c r="B179" s="120">
        <f>VLOOKUP($A179,출고가!$C:$E,3,FALSE)</f>
        <v>1177000</v>
      </c>
      <c r="C179" s="120" t="str">
        <f t="shared" si="72"/>
        <v>AIP15-256심플30G</v>
      </c>
      <c r="D179" s="121" t="s">
        <v>315</v>
      </c>
      <c r="E179" s="130" t="s">
        <v>229</v>
      </c>
      <c r="F179" s="213" t="str">
        <f t="shared" ref="F179:F181" si="85">A179</f>
        <v>AIP15-256</v>
      </c>
      <c r="G179" s="213" t="str">
        <f>VLOOKUP(F179,출고가!C:D,2,0)</f>
        <v>iPhone 15 256G</v>
      </c>
      <c r="H179" s="131">
        <f t="shared" ref="H179:H181" si="86">B179</f>
        <v>1177000</v>
      </c>
      <c r="I179" s="176" t="s">
        <v>988</v>
      </c>
      <c r="J179" s="177" t="s">
        <v>1522</v>
      </c>
      <c r="K179" s="178">
        <v>480000</v>
      </c>
      <c r="L179" s="178">
        <v>480000</v>
      </c>
      <c r="M179" s="178">
        <v>480000</v>
      </c>
      <c r="O179" s="124"/>
    </row>
    <row r="180" spans="1:15" s="2" customFormat="1" ht="25.05" customHeight="1">
      <c r="A180" s="115" t="s">
        <v>737</v>
      </c>
      <c r="B180" s="120">
        <f>VLOOKUP($A180,출고가!$C:$E,3,FALSE)</f>
        <v>1177000</v>
      </c>
      <c r="C180" s="120" t="str">
        <f t="shared" si="72"/>
        <v>AIP15-256슬림10G</v>
      </c>
      <c r="D180" s="121" t="s">
        <v>315</v>
      </c>
      <c r="E180" s="130" t="s">
        <v>229</v>
      </c>
      <c r="F180" s="213" t="str">
        <f t="shared" si="85"/>
        <v>AIP15-256</v>
      </c>
      <c r="G180" s="213" t="str">
        <f>VLOOKUP(F180,출고가!C:D,2,0)</f>
        <v>iPhone 15 256G</v>
      </c>
      <c r="H180" s="131">
        <f t="shared" si="86"/>
        <v>1177000</v>
      </c>
      <c r="I180" s="176" t="s">
        <v>992</v>
      </c>
      <c r="J180" s="177" t="s">
        <v>1523</v>
      </c>
      <c r="K180" s="178">
        <v>430000</v>
      </c>
      <c r="L180" s="178">
        <v>430000</v>
      </c>
      <c r="M180" s="178">
        <v>430000</v>
      </c>
      <c r="O180" s="124"/>
    </row>
    <row r="181" spans="1:15" s="2" customFormat="1" ht="25.05" customHeight="1">
      <c r="A181" s="115" t="s">
        <v>737</v>
      </c>
      <c r="B181" s="120">
        <f>VLOOKUP($A181,출고가!$C:$E,3,FALSE)</f>
        <v>1177000</v>
      </c>
      <c r="C181" s="120" t="str">
        <f t="shared" si="72"/>
        <v>AIP15-256슬림4G</v>
      </c>
      <c r="D181" s="121" t="s">
        <v>315</v>
      </c>
      <c r="E181" s="130" t="s">
        <v>229</v>
      </c>
      <c r="F181" s="213" t="str">
        <f t="shared" si="85"/>
        <v>AIP15-256</v>
      </c>
      <c r="G181" s="213" t="str">
        <f>VLOOKUP(F181,출고가!C:D,2,0)</f>
        <v>iPhone 15 256G</v>
      </c>
      <c r="H181" s="131">
        <f t="shared" si="86"/>
        <v>1177000</v>
      </c>
      <c r="I181" s="182" t="s">
        <v>990</v>
      </c>
      <c r="J181" s="183" t="s">
        <v>1524</v>
      </c>
      <c r="K181" s="184">
        <v>350000</v>
      </c>
      <c r="L181" s="184">
        <v>350000</v>
      </c>
      <c r="M181" s="184">
        <v>350000</v>
      </c>
      <c r="O181" s="124"/>
    </row>
    <row r="182" spans="1:15" s="2" customFormat="1" ht="25.05" customHeight="1">
      <c r="A182" s="115" t="s">
        <v>739</v>
      </c>
      <c r="B182" s="120">
        <f>VLOOKUP($A182,출고가!$C:$E,3,FALSE)</f>
        <v>1474000</v>
      </c>
      <c r="C182" s="120" t="str">
        <f t="shared" si="72"/>
        <v>AIP15-512베이직</v>
      </c>
      <c r="D182" s="121" t="s">
        <v>315</v>
      </c>
      <c r="E182" s="130" t="s">
        <v>229</v>
      </c>
      <c r="F182" s="213" t="str">
        <f>A182</f>
        <v>AIP15-512</v>
      </c>
      <c r="G182" s="213" t="str">
        <f>VLOOKUP(F182,출고가!C:D,2,0)</f>
        <v>iPhone 15 512G</v>
      </c>
      <c r="H182" s="131">
        <f>B182</f>
        <v>1474000</v>
      </c>
      <c r="I182" s="169" t="s">
        <v>357</v>
      </c>
      <c r="J182" s="170" t="s">
        <v>1521</v>
      </c>
      <c r="K182" s="190">
        <v>530000</v>
      </c>
      <c r="L182" s="190">
        <v>530000</v>
      </c>
      <c r="M182" s="190">
        <v>530000</v>
      </c>
      <c r="O182" s="124"/>
    </row>
    <row r="183" spans="1:15" s="2" customFormat="1" ht="25.05" customHeight="1">
      <c r="A183" s="115" t="s">
        <v>739</v>
      </c>
      <c r="B183" s="120">
        <f>VLOOKUP($A183,출고가!$C:$E,3,FALSE)</f>
        <v>1474000</v>
      </c>
      <c r="C183" s="120" t="str">
        <f t="shared" si="72"/>
        <v>AIP15-512심플30G</v>
      </c>
      <c r="D183" s="121" t="s">
        <v>315</v>
      </c>
      <c r="E183" s="130" t="s">
        <v>229</v>
      </c>
      <c r="F183" s="213" t="str">
        <f t="shared" ref="F183:F185" si="87">A183</f>
        <v>AIP15-512</v>
      </c>
      <c r="G183" s="213" t="str">
        <f>VLOOKUP(F183,출고가!C:D,2,0)</f>
        <v>iPhone 15 512G</v>
      </c>
      <c r="H183" s="131">
        <f t="shared" ref="H183:H185" si="88">B183</f>
        <v>1474000</v>
      </c>
      <c r="I183" s="176" t="s">
        <v>988</v>
      </c>
      <c r="J183" s="177" t="s">
        <v>1522</v>
      </c>
      <c r="K183" s="178">
        <v>480000</v>
      </c>
      <c r="L183" s="178">
        <v>480000</v>
      </c>
      <c r="M183" s="178">
        <v>480000</v>
      </c>
      <c r="O183" s="124"/>
    </row>
    <row r="184" spans="1:15" s="2" customFormat="1" ht="25.05" customHeight="1">
      <c r="A184" s="115" t="s">
        <v>739</v>
      </c>
      <c r="B184" s="120">
        <f>VLOOKUP($A184,출고가!$C:$E,3,FALSE)</f>
        <v>1474000</v>
      </c>
      <c r="C184" s="120" t="str">
        <f t="shared" si="72"/>
        <v>AIP15-512슬림10G</v>
      </c>
      <c r="D184" s="121" t="s">
        <v>315</v>
      </c>
      <c r="E184" s="130" t="s">
        <v>229</v>
      </c>
      <c r="F184" s="213" t="str">
        <f t="shared" si="87"/>
        <v>AIP15-512</v>
      </c>
      <c r="G184" s="213" t="str">
        <f>VLOOKUP(F184,출고가!C:D,2,0)</f>
        <v>iPhone 15 512G</v>
      </c>
      <c r="H184" s="131">
        <f t="shared" si="88"/>
        <v>1474000</v>
      </c>
      <c r="I184" s="176" t="s">
        <v>992</v>
      </c>
      <c r="J184" s="177" t="s">
        <v>1523</v>
      </c>
      <c r="K184" s="178">
        <v>430000</v>
      </c>
      <c r="L184" s="178">
        <v>430000</v>
      </c>
      <c r="M184" s="178">
        <v>430000</v>
      </c>
      <c r="O184" s="124"/>
    </row>
    <row r="185" spans="1:15" s="2" customFormat="1" ht="25.05" customHeight="1">
      <c r="A185" s="115" t="s">
        <v>739</v>
      </c>
      <c r="B185" s="120">
        <f>VLOOKUP($A185,출고가!$C:$E,3,FALSE)</f>
        <v>1474000</v>
      </c>
      <c r="C185" s="120" t="str">
        <f t="shared" si="72"/>
        <v>AIP15-512슬림4G</v>
      </c>
      <c r="D185" s="121" t="s">
        <v>315</v>
      </c>
      <c r="E185" s="130" t="s">
        <v>229</v>
      </c>
      <c r="F185" s="213" t="str">
        <f t="shared" si="87"/>
        <v>AIP15-512</v>
      </c>
      <c r="G185" s="213" t="str">
        <f>VLOOKUP(F185,출고가!C:D,2,0)</f>
        <v>iPhone 15 512G</v>
      </c>
      <c r="H185" s="131">
        <f t="shared" si="88"/>
        <v>1474000</v>
      </c>
      <c r="I185" s="182" t="s">
        <v>990</v>
      </c>
      <c r="J185" s="183" t="s">
        <v>1524</v>
      </c>
      <c r="K185" s="184">
        <v>350000</v>
      </c>
      <c r="L185" s="184">
        <v>350000</v>
      </c>
      <c r="M185" s="184">
        <v>350000</v>
      </c>
      <c r="O185" s="124"/>
    </row>
    <row r="186" spans="1:15" s="2" customFormat="1" ht="25.05" customHeight="1">
      <c r="A186" s="115" t="s">
        <v>741</v>
      </c>
      <c r="B186" s="120">
        <f>VLOOKUP($A186,출고가!$C:$E,3,FALSE)</f>
        <v>1122000</v>
      </c>
      <c r="C186" s="120" t="str">
        <f t="shared" si="72"/>
        <v>AIP15PS-128베이직</v>
      </c>
      <c r="D186" s="121" t="s">
        <v>315</v>
      </c>
      <c r="E186" s="130" t="s">
        <v>229</v>
      </c>
      <c r="F186" s="213" t="str">
        <f>A186</f>
        <v>AIP15PS-128</v>
      </c>
      <c r="G186" s="213" t="str">
        <f>VLOOKUP(F186,출고가!C:D,2,0)</f>
        <v>iPhone 15 Plus 128G</v>
      </c>
      <c r="H186" s="131">
        <f>B186</f>
        <v>1122000</v>
      </c>
      <c r="I186" s="169" t="s">
        <v>357</v>
      </c>
      <c r="J186" s="170" t="s">
        <v>1521</v>
      </c>
      <c r="K186" s="190">
        <v>530000</v>
      </c>
      <c r="L186" s="190">
        <v>530000</v>
      </c>
      <c r="M186" s="190">
        <v>530000</v>
      </c>
      <c r="O186" s="124"/>
    </row>
    <row r="187" spans="1:15" s="2" customFormat="1" ht="25.05" customHeight="1">
      <c r="A187" s="115" t="s">
        <v>741</v>
      </c>
      <c r="B187" s="120">
        <f>VLOOKUP($A187,출고가!$C:$E,3,FALSE)</f>
        <v>1122000</v>
      </c>
      <c r="C187" s="120" t="str">
        <f t="shared" si="72"/>
        <v>AIP15PS-128심플30G</v>
      </c>
      <c r="D187" s="121" t="s">
        <v>315</v>
      </c>
      <c r="E187" s="130" t="s">
        <v>229</v>
      </c>
      <c r="F187" s="213" t="str">
        <f t="shared" ref="F187:F189" si="89">A187</f>
        <v>AIP15PS-128</v>
      </c>
      <c r="G187" s="213" t="str">
        <f>VLOOKUP(F187,출고가!C:D,2,0)</f>
        <v>iPhone 15 Plus 128G</v>
      </c>
      <c r="H187" s="131">
        <f t="shared" ref="H187:H189" si="90">B187</f>
        <v>1122000</v>
      </c>
      <c r="I187" s="176" t="s">
        <v>988</v>
      </c>
      <c r="J187" s="177" t="s">
        <v>1522</v>
      </c>
      <c r="K187" s="178">
        <v>480000</v>
      </c>
      <c r="L187" s="178">
        <v>480000</v>
      </c>
      <c r="M187" s="178">
        <v>480000</v>
      </c>
      <c r="O187" s="124"/>
    </row>
    <row r="188" spans="1:15" s="2" customFormat="1" ht="25.05" customHeight="1">
      <c r="A188" s="115" t="s">
        <v>741</v>
      </c>
      <c r="B188" s="120">
        <f>VLOOKUP($A188,출고가!$C:$E,3,FALSE)</f>
        <v>1122000</v>
      </c>
      <c r="C188" s="120" t="str">
        <f t="shared" si="72"/>
        <v>AIP15PS-128슬림10G</v>
      </c>
      <c r="D188" s="121" t="s">
        <v>315</v>
      </c>
      <c r="E188" s="130" t="s">
        <v>229</v>
      </c>
      <c r="F188" s="213" t="str">
        <f t="shared" si="89"/>
        <v>AIP15PS-128</v>
      </c>
      <c r="G188" s="213" t="str">
        <f>VLOOKUP(F188,출고가!C:D,2,0)</f>
        <v>iPhone 15 Plus 128G</v>
      </c>
      <c r="H188" s="131">
        <f t="shared" si="90"/>
        <v>1122000</v>
      </c>
      <c r="I188" s="176" t="s">
        <v>992</v>
      </c>
      <c r="J188" s="177" t="s">
        <v>1523</v>
      </c>
      <c r="K188" s="178">
        <v>430000</v>
      </c>
      <c r="L188" s="178">
        <v>430000</v>
      </c>
      <c r="M188" s="178">
        <v>430000</v>
      </c>
      <c r="O188" s="124"/>
    </row>
    <row r="189" spans="1:15" s="2" customFormat="1" ht="25.05" customHeight="1">
      <c r="A189" s="115" t="s">
        <v>741</v>
      </c>
      <c r="B189" s="120">
        <f>VLOOKUP($A189,출고가!$C:$E,3,FALSE)</f>
        <v>1122000</v>
      </c>
      <c r="C189" s="120" t="str">
        <f t="shared" si="72"/>
        <v>AIP15PS-128슬림4G</v>
      </c>
      <c r="D189" s="121" t="s">
        <v>315</v>
      </c>
      <c r="E189" s="130" t="s">
        <v>229</v>
      </c>
      <c r="F189" s="213" t="str">
        <f t="shared" si="89"/>
        <v>AIP15PS-128</v>
      </c>
      <c r="G189" s="213" t="str">
        <f>VLOOKUP(F189,출고가!C:D,2,0)</f>
        <v>iPhone 15 Plus 128G</v>
      </c>
      <c r="H189" s="131">
        <f t="shared" si="90"/>
        <v>1122000</v>
      </c>
      <c r="I189" s="182" t="s">
        <v>990</v>
      </c>
      <c r="J189" s="183" t="s">
        <v>1524</v>
      </c>
      <c r="K189" s="184">
        <v>350000</v>
      </c>
      <c r="L189" s="184">
        <v>350000</v>
      </c>
      <c r="M189" s="184">
        <v>350000</v>
      </c>
      <c r="O189" s="124"/>
    </row>
    <row r="190" spans="1:15" s="2" customFormat="1" ht="25.05" customHeight="1">
      <c r="A190" s="115" t="s">
        <v>743</v>
      </c>
      <c r="B190" s="120">
        <f>VLOOKUP($A190,출고가!$C:$E,3,FALSE)</f>
        <v>1276000</v>
      </c>
      <c r="C190" s="120" t="str">
        <f t="shared" si="72"/>
        <v>AIP15PS-256베이직</v>
      </c>
      <c r="D190" s="121" t="s">
        <v>315</v>
      </c>
      <c r="E190" s="130" t="s">
        <v>229</v>
      </c>
      <c r="F190" s="213" t="str">
        <f>A190</f>
        <v>AIP15PS-256</v>
      </c>
      <c r="G190" s="213" t="str">
        <f>VLOOKUP(F190,출고가!C:D,2,0)</f>
        <v>iPhone 15 Plus 256G</v>
      </c>
      <c r="H190" s="131">
        <f>B190</f>
        <v>1276000</v>
      </c>
      <c r="I190" s="169" t="s">
        <v>357</v>
      </c>
      <c r="J190" s="170" t="s">
        <v>1521</v>
      </c>
      <c r="K190" s="190">
        <v>530000</v>
      </c>
      <c r="L190" s="190">
        <v>530000</v>
      </c>
      <c r="M190" s="190">
        <v>530000</v>
      </c>
      <c r="O190" s="124"/>
    </row>
    <row r="191" spans="1:15" s="2" customFormat="1" ht="25.05" customHeight="1">
      <c r="A191" s="115" t="s">
        <v>743</v>
      </c>
      <c r="B191" s="120">
        <f>VLOOKUP($A191,출고가!$C:$E,3,FALSE)</f>
        <v>1276000</v>
      </c>
      <c r="C191" s="120" t="str">
        <f t="shared" si="72"/>
        <v>AIP15PS-256심플30G</v>
      </c>
      <c r="D191" s="121" t="s">
        <v>315</v>
      </c>
      <c r="E191" s="130" t="s">
        <v>229</v>
      </c>
      <c r="F191" s="213" t="str">
        <f t="shared" ref="F191:F193" si="91">A191</f>
        <v>AIP15PS-256</v>
      </c>
      <c r="G191" s="213" t="str">
        <f>VLOOKUP(F191,출고가!C:D,2,0)</f>
        <v>iPhone 15 Plus 256G</v>
      </c>
      <c r="H191" s="131">
        <f t="shared" ref="H191:H193" si="92">B191</f>
        <v>1276000</v>
      </c>
      <c r="I191" s="176" t="s">
        <v>988</v>
      </c>
      <c r="J191" s="177" t="s">
        <v>1522</v>
      </c>
      <c r="K191" s="178">
        <v>480000</v>
      </c>
      <c r="L191" s="178">
        <v>480000</v>
      </c>
      <c r="M191" s="178">
        <v>480000</v>
      </c>
      <c r="O191" s="124"/>
    </row>
    <row r="192" spans="1:15" s="2" customFormat="1" ht="25.05" customHeight="1">
      <c r="A192" s="115" t="s">
        <v>743</v>
      </c>
      <c r="B192" s="120">
        <f>VLOOKUP($A192,출고가!$C:$E,3,FALSE)</f>
        <v>1276000</v>
      </c>
      <c r="C192" s="120" t="str">
        <f t="shared" si="72"/>
        <v>AIP15PS-256슬림10G</v>
      </c>
      <c r="D192" s="121" t="s">
        <v>315</v>
      </c>
      <c r="E192" s="130" t="s">
        <v>229</v>
      </c>
      <c r="F192" s="213" t="str">
        <f t="shared" si="91"/>
        <v>AIP15PS-256</v>
      </c>
      <c r="G192" s="213" t="str">
        <f>VLOOKUP(F192,출고가!C:D,2,0)</f>
        <v>iPhone 15 Plus 256G</v>
      </c>
      <c r="H192" s="131">
        <f t="shared" si="92"/>
        <v>1276000</v>
      </c>
      <c r="I192" s="176" t="s">
        <v>992</v>
      </c>
      <c r="J192" s="177" t="s">
        <v>1523</v>
      </c>
      <c r="K192" s="178">
        <v>430000</v>
      </c>
      <c r="L192" s="178">
        <v>430000</v>
      </c>
      <c r="M192" s="178">
        <v>430000</v>
      </c>
      <c r="O192" s="124"/>
    </row>
    <row r="193" spans="1:15" s="2" customFormat="1" ht="25.05" customHeight="1">
      <c r="A193" s="115" t="s">
        <v>743</v>
      </c>
      <c r="B193" s="120">
        <f>VLOOKUP($A193,출고가!$C:$E,3,FALSE)</f>
        <v>1276000</v>
      </c>
      <c r="C193" s="120" t="str">
        <f t="shared" si="72"/>
        <v>AIP15PS-256슬림4G</v>
      </c>
      <c r="D193" s="121" t="s">
        <v>315</v>
      </c>
      <c r="E193" s="130" t="s">
        <v>229</v>
      </c>
      <c r="F193" s="213" t="str">
        <f t="shared" si="91"/>
        <v>AIP15PS-256</v>
      </c>
      <c r="G193" s="213" t="str">
        <f>VLOOKUP(F193,출고가!C:D,2,0)</f>
        <v>iPhone 15 Plus 256G</v>
      </c>
      <c r="H193" s="131">
        <f t="shared" si="92"/>
        <v>1276000</v>
      </c>
      <c r="I193" s="182" t="s">
        <v>990</v>
      </c>
      <c r="J193" s="183" t="s">
        <v>1524</v>
      </c>
      <c r="K193" s="184">
        <v>350000</v>
      </c>
      <c r="L193" s="184">
        <v>350000</v>
      </c>
      <c r="M193" s="184">
        <v>350000</v>
      </c>
      <c r="O193" s="124"/>
    </row>
    <row r="194" spans="1:15" s="2" customFormat="1" ht="25.05" customHeight="1">
      <c r="A194" s="115" t="s">
        <v>745</v>
      </c>
      <c r="B194" s="120">
        <f>VLOOKUP($A194,출고가!$C:$E,3,FALSE)</f>
        <v>1573000</v>
      </c>
      <c r="C194" s="120" t="str">
        <f t="shared" si="72"/>
        <v>AIP15PS-512베이직</v>
      </c>
      <c r="D194" s="121" t="s">
        <v>315</v>
      </c>
      <c r="E194" s="130" t="s">
        <v>229</v>
      </c>
      <c r="F194" s="213" t="str">
        <f>A194</f>
        <v>AIP15PS-512</v>
      </c>
      <c r="G194" s="213" t="str">
        <f>VLOOKUP(F194,출고가!C:D,2,0)</f>
        <v>iPhone 15 Plus 512G</v>
      </c>
      <c r="H194" s="131">
        <f>B194</f>
        <v>1573000</v>
      </c>
      <c r="I194" s="169" t="s">
        <v>357</v>
      </c>
      <c r="J194" s="170" t="s">
        <v>1521</v>
      </c>
      <c r="K194" s="190">
        <v>530000</v>
      </c>
      <c r="L194" s="190">
        <v>530000</v>
      </c>
      <c r="M194" s="190">
        <v>530000</v>
      </c>
      <c r="O194" s="124"/>
    </row>
    <row r="195" spans="1:15" s="2" customFormat="1" ht="25.05" customHeight="1">
      <c r="A195" s="115" t="s">
        <v>745</v>
      </c>
      <c r="B195" s="120">
        <f>VLOOKUP($A195,출고가!$C:$E,3,FALSE)</f>
        <v>1573000</v>
      </c>
      <c r="C195" s="120" t="str">
        <f t="shared" si="72"/>
        <v>AIP15PS-512심플30G</v>
      </c>
      <c r="D195" s="121" t="s">
        <v>315</v>
      </c>
      <c r="E195" s="130" t="s">
        <v>229</v>
      </c>
      <c r="F195" s="213" t="str">
        <f t="shared" ref="F195:F197" si="93">A195</f>
        <v>AIP15PS-512</v>
      </c>
      <c r="G195" s="213" t="str">
        <f>VLOOKUP(F195,출고가!C:D,2,0)</f>
        <v>iPhone 15 Plus 512G</v>
      </c>
      <c r="H195" s="131">
        <f t="shared" ref="H195:H197" si="94">B195</f>
        <v>1573000</v>
      </c>
      <c r="I195" s="176" t="s">
        <v>988</v>
      </c>
      <c r="J195" s="177" t="s">
        <v>1522</v>
      </c>
      <c r="K195" s="178">
        <v>480000</v>
      </c>
      <c r="L195" s="178">
        <v>480000</v>
      </c>
      <c r="M195" s="178">
        <v>480000</v>
      </c>
      <c r="O195" s="124"/>
    </row>
    <row r="196" spans="1:15" s="2" customFormat="1" ht="25.05" customHeight="1">
      <c r="A196" s="115" t="s">
        <v>745</v>
      </c>
      <c r="B196" s="120">
        <f>VLOOKUP($A196,출고가!$C:$E,3,FALSE)</f>
        <v>1573000</v>
      </c>
      <c r="C196" s="120" t="str">
        <f t="shared" si="72"/>
        <v>AIP15PS-512슬림10G</v>
      </c>
      <c r="D196" s="121" t="s">
        <v>315</v>
      </c>
      <c r="E196" s="130" t="s">
        <v>229</v>
      </c>
      <c r="F196" s="213" t="str">
        <f t="shared" si="93"/>
        <v>AIP15PS-512</v>
      </c>
      <c r="G196" s="213" t="str">
        <f>VLOOKUP(F196,출고가!C:D,2,0)</f>
        <v>iPhone 15 Plus 512G</v>
      </c>
      <c r="H196" s="131">
        <f t="shared" si="94"/>
        <v>1573000</v>
      </c>
      <c r="I196" s="176" t="s">
        <v>992</v>
      </c>
      <c r="J196" s="177" t="s">
        <v>1523</v>
      </c>
      <c r="K196" s="178">
        <v>430000</v>
      </c>
      <c r="L196" s="178">
        <v>430000</v>
      </c>
      <c r="M196" s="178">
        <v>430000</v>
      </c>
      <c r="O196" s="124"/>
    </row>
    <row r="197" spans="1:15" s="2" customFormat="1" ht="25.05" customHeight="1">
      <c r="A197" s="115" t="s">
        <v>745</v>
      </c>
      <c r="B197" s="120">
        <f>VLOOKUP($A197,출고가!$C:$E,3,FALSE)</f>
        <v>1573000</v>
      </c>
      <c r="C197" s="120" t="str">
        <f t="shared" si="72"/>
        <v>AIP15PS-512슬림4G</v>
      </c>
      <c r="D197" s="121" t="s">
        <v>315</v>
      </c>
      <c r="E197" s="130" t="s">
        <v>229</v>
      </c>
      <c r="F197" s="213" t="str">
        <f t="shared" si="93"/>
        <v>AIP15PS-512</v>
      </c>
      <c r="G197" s="213" t="str">
        <f>VLOOKUP(F197,출고가!C:D,2,0)</f>
        <v>iPhone 15 Plus 512G</v>
      </c>
      <c r="H197" s="131">
        <f t="shared" si="94"/>
        <v>1573000</v>
      </c>
      <c r="I197" s="182" t="s">
        <v>990</v>
      </c>
      <c r="J197" s="183" t="s">
        <v>1524</v>
      </c>
      <c r="K197" s="184">
        <v>350000</v>
      </c>
      <c r="L197" s="184">
        <v>350000</v>
      </c>
      <c r="M197" s="184">
        <v>350000</v>
      </c>
      <c r="O197" s="124"/>
    </row>
    <row r="198" spans="1:15" s="2" customFormat="1" ht="25.05" customHeight="1">
      <c r="A198" s="115" t="s">
        <v>747</v>
      </c>
      <c r="B198" s="120">
        <f>VLOOKUP($A198,출고가!$C:$E,3,FALSE)</f>
        <v>1320000</v>
      </c>
      <c r="C198" s="120" t="str">
        <f t="shared" si="72"/>
        <v>AIP15P-128베이직</v>
      </c>
      <c r="D198" s="121" t="s">
        <v>315</v>
      </c>
      <c r="E198" s="130" t="s">
        <v>229</v>
      </c>
      <c r="F198" s="213" t="str">
        <f>A198</f>
        <v>AIP15P-128</v>
      </c>
      <c r="G198" s="213" t="str">
        <f>VLOOKUP(F198,출고가!C:D,2,0)</f>
        <v>iPhone 15 Pro 128G</v>
      </c>
      <c r="H198" s="131">
        <f>B198</f>
        <v>1320000</v>
      </c>
      <c r="I198" s="169" t="s">
        <v>357</v>
      </c>
      <c r="J198" s="170" t="s">
        <v>1521</v>
      </c>
      <c r="K198" s="190">
        <v>530000</v>
      </c>
      <c r="L198" s="190">
        <v>530000</v>
      </c>
      <c r="M198" s="190">
        <v>530000</v>
      </c>
      <c r="O198" s="124"/>
    </row>
    <row r="199" spans="1:15" s="2" customFormat="1" ht="25.05" customHeight="1">
      <c r="A199" s="115" t="s">
        <v>747</v>
      </c>
      <c r="B199" s="120">
        <f>VLOOKUP($A199,출고가!$C:$E,3,FALSE)</f>
        <v>1320000</v>
      </c>
      <c r="C199" s="120" t="str">
        <f t="shared" si="72"/>
        <v>AIP15P-128심플30G</v>
      </c>
      <c r="D199" s="121" t="s">
        <v>315</v>
      </c>
      <c r="E199" s="130" t="s">
        <v>229</v>
      </c>
      <c r="F199" s="213" t="str">
        <f t="shared" ref="F199:F201" si="95">A199</f>
        <v>AIP15P-128</v>
      </c>
      <c r="G199" s="213" t="str">
        <f>VLOOKUP(F199,출고가!C:D,2,0)</f>
        <v>iPhone 15 Pro 128G</v>
      </c>
      <c r="H199" s="131">
        <f t="shared" ref="H199:H201" si="96">B199</f>
        <v>1320000</v>
      </c>
      <c r="I199" s="176" t="s">
        <v>988</v>
      </c>
      <c r="J199" s="177" t="s">
        <v>1522</v>
      </c>
      <c r="K199" s="178">
        <v>480000</v>
      </c>
      <c r="L199" s="178">
        <v>480000</v>
      </c>
      <c r="M199" s="178">
        <v>480000</v>
      </c>
      <c r="O199" s="124"/>
    </row>
    <row r="200" spans="1:15" s="2" customFormat="1" ht="25.05" customHeight="1">
      <c r="A200" s="115" t="s">
        <v>747</v>
      </c>
      <c r="B200" s="120">
        <f>VLOOKUP($A200,출고가!$C:$E,3,FALSE)</f>
        <v>1320000</v>
      </c>
      <c r="C200" s="120" t="str">
        <f t="shared" si="72"/>
        <v>AIP15P-128슬림10G</v>
      </c>
      <c r="D200" s="121" t="s">
        <v>315</v>
      </c>
      <c r="E200" s="130" t="s">
        <v>229</v>
      </c>
      <c r="F200" s="213" t="str">
        <f t="shared" si="95"/>
        <v>AIP15P-128</v>
      </c>
      <c r="G200" s="213" t="str">
        <f>VLOOKUP(F200,출고가!C:D,2,0)</f>
        <v>iPhone 15 Pro 128G</v>
      </c>
      <c r="H200" s="131">
        <f t="shared" si="96"/>
        <v>1320000</v>
      </c>
      <c r="I200" s="176" t="s">
        <v>992</v>
      </c>
      <c r="J200" s="177" t="s">
        <v>1523</v>
      </c>
      <c r="K200" s="178">
        <v>430000</v>
      </c>
      <c r="L200" s="178">
        <v>430000</v>
      </c>
      <c r="M200" s="178">
        <v>430000</v>
      </c>
      <c r="O200" s="124"/>
    </row>
    <row r="201" spans="1:15" s="2" customFormat="1" ht="25.05" customHeight="1">
      <c r="A201" s="115" t="s">
        <v>747</v>
      </c>
      <c r="B201" s="120">
        <f>VLOOKUP($A201,출고가!$C:$E,3,FALSE)</f>
        <v>1320000</v>
      </c>
      <c r="C201" s="120" t="str">
        <f t="shared" si="72"/>
        <v>AIP15P-128슬림4G</v>
      </c>
      <c r="D201" s="121" t="s">
        <v>315</v>
      </c>
      <c r="E201" s="130" t="s">
        <v>229</v>
      </c>
      <c r="F201" s="213" t="str">
        <f t="shared" si="95"/>
        <v>AIP15P-128</v>
      </c>
      <c r="G201" s="213" t="str">
        <f>VLOOKUP(F201,출고가!C:D,2,0)</f>
        <v>iPhone 15 Pro 128G</v>
      </c>
      <c r="H201" s="131">
        <f t="shared" si="96"/>
        <v>1320000</v>
      </c>
      <c r="I201" s="182" t="s">
        <v>990</v>
      </c>
      <c r="J201" s="183" t="s">
        <v>1524</v>
      </c>
      <c r="K201" s="184">
        <v>350000</v>
      </c>
      <c r="L201" s="184">
        <v>350000</v>
      </c>
      <c r="M201" s="184">
        <v>350000</v>
      </c>
      <c r="O201" s="124"/>
    </row>
    <row r="202" spans="1:15" s="2" customFormat="1" ht="25.05" customHeight="1">
      <c r="A202" s="115" t="s">
        <v>749</v>
      </c>
      <c r="B202" s="120">
        <f>VLOOKUP($A202,출고가!$C:$E,3,FALSE)</f>
        <v>1474000</v>
      </c>
      <c r="C202" s="120" t="str">
        <f t="shared" si="72"/>
        <v>AIP15P-256베이직</v>
      </c>
      <c r="D202" s="121" t="s">
        <v>315</v>
      </c>
      <c r="E202" s="130" t="s">
        <v>229</v>
      </c>
      <c r="F202" s="213" t="str">
        <f>A202</f>
        <v>AIP15P-256</v>
      </c>
      <c r="G202" s="213" t="str">
        <f>VLOOKUP(F202,출고가!C:D,2,0)</f>
        <v>iPhone 15 Pro 256G</v>
      </c>
      <c r="H202" s="131">
        <f>B202</f>
        <v>1474000</v>
      </c>
      <c r="I202" s="169" t="s">
        <v>357</v>
      </c>
      <c r="J202" s="170" t="s">
        <v>1521</v>
      </c>
      <c r="K202" s="190">
        <v>530000</v>
      </c>
      <c r="L202" s="190">
        <v>530000</v>
      </c>
      <c r="M202" s="190">
        <v>530000</v>
      </c>
      <c r="O202" s="124"/>
    </row>
    <row r="203" spans="1:15" s="2" customFormat="1" ht="25.05" customHeight="1">
      <c r="A203" s="115" t="s">
        <v>749</v>
      </c>
      <c r="B203" s="120">
        <f>VLOOKUP($A203,출고가!$C:$E,3,FALSE)</f>
        <v>1474000</v>
      </c>
      <c r="C203" s="120" t="str">
        <f t="shared" si="72"/>
        <v>AIP15P-256심플30G</v>
      </c>
      <c r="D203" s="121" t="s">
        <v>315</v>
      </c>
      <c r="E203" s="130" t="s">
        <v>229</v>
      </c>
      <c r="F203" s="213" t="str">
        <f t="shared" ref="F203:F205" si="97">A203</f>
        <v>AIP15P-256</v>
      </c>
      <c r="G203" s="213" t="str">
        <f>VLOOKUP(F203,출고가!C:D,2,0)</f>
        <v>iPhone 15 Pro 256G</v>
      </c>
      <c r="H203" s="131">
        <f t="shared" ref="H203:H205" si="98">B203</f>
        <v>1474000</v>
      </c>
      <c r="I203" s="176" t="s">
        <v>988</v>
      </c>
      <c r="J203" s="177" t="s">
        <v>1522</v>
      </c>
      <c r="K203" s="178">
        <v>480000</v>
      </c>
      <c r="L203" s="178">
        <v>480000</v>
      </c>
      <c r="M203" s="178">
        <v>480000</v>
      </c>
      <c r="O203" s="124"/>
    </row>
    <row r="204" spans="1:15" s="2" customFormat="1" ht="25.05" customHeight="1">
      <c r="A204" s="115" t="s">
        <v>749</v>
      </c>
      <c r="B204" s="120">
        <f>VLOOKUP($A204,출고가!$C:$E,3,FALSE)</f>
        <v>1474000</v>
      </c>
      <c r="C204" s="120" t="str">
        <f t="shared" si="72"/>
        <v>AIP15P-256슬림10G</v>
      </c>
      <c r="D204" s="121" t="s">
        <v>315</v>
      </c>
      <c r="E204" s="130" t="s">
        <v>229</v>
      </c>
      <c r="F204" s="213" t="str">
        <f t="shared" si="97"/>
        <v>AIP15P-256</v>
      </c>
      <c r="G204" s="213" t="str">
        <f>VLOOKUP(F204,출고가!C:D,2,0)</f>
        <v>iPhone 15 Pro 256G</v>
      </c>
      <c r="H204" s="131">
        <f t="shared" si="98"/>
        <v>1474000</v>
      </c>
      <c r="I204" s="176" t="s">
        <v>992</v>
      </c>
      <c r="J204" s="177" t="s">
        <v>1523</v>
      </c>
      <c r="K204" s="178">
        <v>430000</v>
      </c>
      <c r="L204" s="178">
        <v>430000</v>
      </c>
      <c r="M204" s="178">
        <v>430000</v>
      </c>
      <c r="O204" s="124"/>
    </row>
    <row r="205" spans="1:15" s="2" customFormat="1" ht="25.05" customHeight="1">
      <c r="A205" s="115" t="s">
        <v>749</v>
      </c>
      <c r="B205" s="120">
        <f>VLOOKUP($A205,출고가!$C:$E,3,FALSE)</f>
        <v>1474000</v>
      </c>
      <c r="C205" s="120" t="str">
        <f t="shared" si="72"/>
        <v>AIP15P-256슬림4G</v>
      </c>
      <c r="D205" s="121" t="s">
        <v>315</v>
      </c>
      <c r="E205" s="130" t="s">
        <v>229</v>
      </c>
      <c r="F205" s="213" t="str">
        <f t="shared" si="97"/>
        <v>AIP15P-256</v>
      </c>
      <c r="G205" s="213" t="str">
        <f>VLOOKUP(F205,출고가!C:D,2,0)</f>
        <v>iPhone 15 Pro 256G</v>
      </c>
      <c r="H205" s="131">
        <f t="shared" si="98"/>
        <v>1474000</v>
      </c>
      <c r="I205" s="182" t="s">
        <v>990</v>
      </c>
      <c r="J205" s="183" t="s">
        <v>1524</v>
      </c>
      <c r="K205" s="184">
        <v>350000</v>
      </c>
      <c r="L205" s="184">
        <v>350000</v>
      </c>
      <c r="M205" s="184">
        <v>350000</v>
      </c>
      <c r="O205" s="124"/>
    </row>
    <row r="206" spans="1:15" s="2" customFormat="1" ht="25.05" customHeight="1">
      <c r="A206" s="115" t="s">
        <v>751</v>
      </c>
      <c r="B206" s="120">
        <f>VLOOKUP($A206,출고가!$C:$E,3,FALSE)</f>
        <v>1771000</v>
      </c>
      <c r="C206" s="120" t="str">
        <f t="shared" si="72"/>
        <v>AIP15P-512베이직</v>
      </c>
      <c r="D206" s="121" t="s">
        <v>315</v>
      </c>
      <c r="E206" s="130" t="s">
        <v>229</v>
      </c>
      <c r="F206" s="213" t="str">
        <f>A206</f>
        <v>AIP15P-512</v>
      </c>
      <c r="G206" s="213" t="str">
        <f>VLOOKUP(F206,출고가!C:D,2,0)</f>
        <v>iPhone 15 Pro 512G</v>
      </c>
      <c r="H206" s="131">
        <f>B206</f>
        <v>1771000</v>
      </c>
      <c r="I206" s="169" t="s">
        <v>357</v>
      </c>
      <c r="J206" s="170" t="s">
        <v>1521</v>
      </c>
      <c r="K206" s="190">
        <v>530000</v>
      </c>
      <c r="L206" s="190">
        <v>530000</v>
      </c>
      <c r="M206" s="190">
        <v>530000</v>
      </c>
      <c r="O206" s="124"/>
    </row>
    <row r="207" spans="1:15" s="2" customFormat="1" ht="25.05" customHeight="1">
      <c r="A207" s="115" t="s">
        <v>751</v>
      </c>
      <c r="B207" s="120">
        <f>VLOOKUP($A207,출고가!$C:$E,3,FALSE)</f>
        <v>1771000</v>
      </c>
      <c r="C207" s="120" t="str">
        <f t="shared" si="72"/>
        <v>AIP15P-512심플30G</v>
      </c>
      <c r="D207" s="121" t="s">
        <v>315</v>
      </c>
      <c r="E207" s="130" t="s">
        <v>229</v>
      </c>
      <c r="F207" s="213" t="str">
        <f t="shared" ref="F207:F209" si="99">A207</f>
        <v>AIP15P-512</v>
      </c>
      <c r="G207" s="213" t="str">
        <f>VLOOKUP(F207,출고가!C:D,2,0)</f>
        <v>iPhone 15 Pro 512G</v>
      </c>
      <c r="H207" s="131">
        <f t="shared" ref="H207:H209" si="100">B207</f>
        <v>1771000</v>
      </c>
      <c r="I207" s="176" t="s">
        <v>988</v>
      </c>
      <c r="J207" s="177" t="s">
        <v>1522</v>
      </c>
      <c r="K207" s="178">
        <v>480000</v>
      </c>
      <c r="L207" s="178">
        <v>480000</v>
      </c>
      <c r="M207" s="178">
        <v>480000</v>
      </c>
      <c r="O207" s="124"/>
    </row>
    <row r="208" spans="1:15" s="2" customFormat="1" ht="25.05" customHeight="1">
      <c r="A208" s="115" t="s">
        <v>751</v>
      </c>
      <c r="B208" s="120">
        <f>VLOOKUP($A208,출고가!$C:$E,3,FALSE)</f>
        <v>1771000</v>
      </c>
      <c r="C208" s="120" t="str">
        <f t="shared" si="72"/>
        <v>AIP15P-512슬림10G</v>
      </c>
      <c r="D208" s="121" t="s">
        <v>315</v>
      </c>
      <c r="E208" s="130" t="s">
        <v>229</v>
      </c>
      <c r="F208" s="213" t="str">
        <f t="shared" si="99"/>
        <v>AIP15P-512</v>
      </c>
      <c r="G208" s="213" t="str">
        <f>VLOOKUP(F208,출고가!C:D,2,0)</f>
        <v>iPhone 15 Pro 512G</v>
      </c>
      <c r="H208" s="131">
        <f t="shared" si="100"/>
        <v>1771000</v>
      </c>
      <c r="I208" s="176" t="s">
        <v>992</v>
      </c>
      <c r="J208" s="177" t="s">
        <v>1523</v>
      </c>
      <c r="K208" s="178">
        <v>430000</v>
      </c>
      <c r="L208" s="178">
        <v>430000</v>
      </c>
      <c r="M208" s="178">
        <v>430000</v>
      </c>
      <c r="O208" s="124"/>
    </row>
    <row r="209" spans="1:15" s="2" customFormat="1" ht="25.05" customHeight="1">
      <c r="A209" s="115" t="s">
        <v>751</v>
      </c>
      <c r="B209" s="120">
        <f>VLOOKUP($A209,출고가!$C:$E,3,FALSE)</f>
        <v>1771000</v>
      </c>
      <c r="C209" s="120" t="str">
        <f t="shared" si="72"/>
        <v>AIP15P-512슬림4G</v>
      </c>
      <c r="D209" s="121" t="s">
        <v>315</v>
      </c>
      <c r="E209" s="130" t="s">
        <v>229</v>
      </c>
      <c r="F209" s="213" t="str">
        <f t="shared" si="99"/>
        <v>AIP15P-512</v>
      </c>
      <c r="G209" s="213" t="str">
        <f>VLOOKUP(F209,출고가!C:D,2,0)</f>
        <v>iPhone 15 Pro 512G</v>
      </c>
      <c r="H209" s="131">
        <f t="shared" si="100"/>
        <v>1771000</v>
      </c>
      <c r="I209" s="182" t="s">
        <v>990</v>
      </c>
      <c r="J209" s="183" t="s">
        <v>1524</v>
      </c>
      <c r="K209" s="184">
        <v>350000</v>
      </c>
      <c r="L209" s="184">
        <v>350000</v>
      </c>
      <c r="M209" s="184">
        <v>350000</v>
      </c>
      <c r="O209" s="124"/>
    </row>
    <row r="210" spans="1:15" s="2" customFormat="1" ht="25.05" customHeight="1">
      <c r="A210" s="115" t="s">
        <v>757</v>
      </c>
      <c r="B210" s="120">
        <f>VLOOKUP($A210,출고가!$C:$E,3,FALSE)</f>
        <v>1672000</v>
      </c>
      <c r="C210" s="120" t="str">
        <f t="shared" si="72"/>
        <v>AIP15PM-256베이직</v>
      </c>
      <c r="D210" s="121" t="s">
        <v>315</v>
      </c>
      <c r="E210" s="130" t="s">
        <v>229</v>
      </c>
      <c r="F210" s="213" t="str">
        <f>A210</f>
        <v>AIP15PM-256</v>
      </c>
      <c r="G210" s="213" t="str">
        <f>VLOOKUP(F210,출고가!C:D,2,0)</f>
        <v>iPhone 15 Pro Max 256G</v>
      </c>
      <c r="H210" s="131">
        <f>B210</f>
        <v>1672000</v>
      </c>
      <c r="I210" s="169" t="s">
        <v>357</v>
      </c>
      <c r="J210" s="170" t="s">
        <v>1521</v>
      </c>
      <c r="K210" s="190">
        <v>530000</v>
      </c>
      <c r="L210" s="190">
        <v>530000</v>
      </c>
      <c r="M210" s="190">
        <v>530000</v>
      </c>
      <c r="O210" s="124"/>
    </row>
    <row r="211" spans="1:15" s="2" customFormat="1" ht="25.05" customHeight="1">
      <c r="A211" s="115" t="s">
        <v>757</v>
      </c>
      <c r="B211" s="120">
        <f>VLOOKUP($A211,출고가!$C:$E,3,FALSE)</f>
        <v>1672000</v>
      </c>
      <c r="C211" s="120" t="str">
        <f t="shared" si="72"/>
        <v>AIP15PM-256심플30G</v>
      </c>
      <c r="D211" s="121" t="s">
        <v>315</v>
      </c>
      <c r="E211" s="130" t="s">
        <v>229</v>
      </c>
      <c r="F211" s="213" t="str">
        <f t="shared" ref="F211:F213" si="101">A211</f>
        <v>AIP15PM-256</v>
      </c>
      <c r="G211" s="213" t="str">
        <f>VLOOKUP(F211,출고가!C:D,2,0)</f>
        <v>iPhone 15 Pro Max 256G</v>
      </c>
      <c r="H211" s="131">
        <f t="shared" ref="H211:H213" si="102">B211</f>
        <v>1672000</v>
      </c>
      <c r="I211" s="176" t="s">
        <v>988</v>
      </c>
      <c r="J211" s="177" t="s">
        <v>1522</v>
      </c>
      <c r="K211" s="178">
        <v>480000</v>
      </c>
      <c r="L211" s="178">
        <v>480000</v>
      </c>
      <c r="M211" s="178">
        <v>480000</v>
      </c>
      <c r="O211" s="124"/>
    </row>
    <row r="212" spans="1:15" s="2" customFormat="1" ht="25.05" customHeight="1">
      <c r="A212" s="115" t="s">
        <v>757</v>
      </c>
      <c r="B212" s="120">
        <f>VLOOKUP($A212,출고가!$C:$E,3,FALSE)</f>
        <v>1672000</v>
      </c>
      <c r="C212" s="120" t="str">
        <f t="shared" si="72"/>
        <v>AIP15PM-256슬림10G</v>
      </c>
      <c r="D212" s="121" t="s">
        <v>315</v>
      </c>
      <c r="E212" s="130" t="s">
        <v>229</v>
      </c>
      <c r="F212" s="213" t="str">
        <f t="shared" si="101"/>
        <v>AIP15PM-256</v>
      </c>
      <c r="G212" s="213" t="str">
        <f>VLOOKUP(F212,출고가!C:D,2,0)</f>
        <v>iPhone 15 Pro Max 256G</v>
      </c>
      <c r="H212" s="131">
        <f t="shared" si="102"/>
        <v>1672000</v>
      </c>
      <c r="I212" s="176" t="s">
        <v>992</v>
      </c>
      <c r="J212" s="177" t="s">
        <v>1523</v>
      </c>
      <c r="K212" s="178">
        <v>430000</v>
      </c>
      <c r="L212" s="178">
        <v>430000</v>
      </c>
      <c r="M212" s="178">
        <v>430000</v>
      </c>
      <c r="O212" s="124"/>
    </row>
    <row r="213" spans="1:15" s="2" customFormat="1" ht="25.05" customHeight="1">
      <c r="A213" s="115" t="s">
        <v>757</v>
      </c>
      <c r="B213" s="120">
        <f>VLOOKUP($A213,출고가!$C:$E,3,FALSE)</f>
        <v>1672000</v>
      </c>
      <c r="C213" s="120" t="str">
        <f t="shared" si="72"/>
        <v>AIP15PM-256슬림4G</v>
      </c>
      <c r="D213" s="121" t="s">
        <v>315</v>
      </c>
      <c r="E213" s="130" t="s">
        <v>229</v>
      </c>
      <c r="F213" s="213" t="str">
        <f t="shared" si="101"/>
        <v>AIP15PM-256</v>
      </c>
      <c r="G213" s="213" t="str">
        <f>VLOOKUP(F213,출고가!C:D,2,0)</f>
        <v>iPhone 15 Pro Max 256G</v>
      </c>
      <c r="H213" s="131">
        <f t="shared" si="102"/>
        <v>1672000</v>
      </c>
      <c r="I213" s="182" t="s">
        <v>990</v>
      </c>
      <c r="J213" s="183" t="s">
        <v>1524</v>
      </c>
      <c r="K213" s="184">
        <v>350000</v>
      </c>
      <c r="L213" s="184">
        <v>350000</v>
      </c>
      <c r="M213" s="184">
        <v>350000</v>
      </c>
      <c r="O213" s="124"/>
    </row>
    <row r="214" spans="1:15" s="2" customFormat="1" ht="25.05" customHeight="1">
      <c r="A214" s="115" t="s">
        <v>759</v>
      </c>
      <c r="B214" s="120">
        <f>VLOOKUP($A214,출고가!$C:$E,3,FALSE)</f>
        <v>1980000</v>
      </c>
      <c r="C214" s="120" t="str">
        <f t="shared" si="72"/>
        <v>AIP15PM-512베이직</v>
      </c>
      <c r="D214" s="121" t="s">
        <v>315</v>
      </c>
      <c r="E214" s="130" t="s">
        <v>229</v>
      </c>
      <c r="F214" s="213" t="str">
        <f>A214</f>
        <v>AIP15PM-512</v>
      </c>
      <c r="G214" s="213" t="str">
        <f>VLOOKUP(F214,출고가!C:D,2,0)</f>
        <v>iPhone 15 Pro Max 512G</v>
      </c>
      <c r="H214" s="131">
        <f>B214</f>
        <v>1980000</v>
      </c>
      <c r="I214" s="169" t="s">
        <v>357</v>
      </c>
      <c r="J214" s="170" t="s">
        <v>1521</v>
      </c>
      <c r="K214" s="190">
        <v>530000</v>
      </c>
      <c r="L214" s="190">
        <v>530000</v>
      </c>
      <c r="M214" s="190">
        <v>530000</v>
      </c>
      <c r="O214" s="124"/>
    </row>
    <row r="215" spans="1:15" s="2" customFormat="1" ht="25.05" customHeight="1">
      <c r="A215" s="115" t="s">
        <v>759</v>
      </c>
      <c r="B215" s="120">
        <f>VLOOKUP($A215,출고가!$C:$E,3,FALSE)</f>
        <v>1980000</v>
      </c>
      <c r="C215" s="120" t="str">
        <f t="shared" si="72"/>
        <v>AIP15PM-512심플30G</v>
      </c>
      <c r="D215" s="121" t="s">
        <v>315</v>
      </c>
      <c r="E215" s="130" t="s">
        <v>229</v>
      </c>
      <c r="F215" s="213" t="str">
        <f t="shared" ref="F215:F217" si="103">A215</f>
        <v>AIP15PM-512</v>
      </c>
      <c r="G215" s="213" t="str">
        <f>VLOOKUP(F215,출고가!C:D,2,0)</f>
        <v>iPhone 15 Pro Max 512G</v>
      </c>
      <c r="H215" s="131">
        <f t="shared" ref="H215:H217" si="104">B215</f>
        <v>1980000</v>
      </c>
      <c r="I215" s="176" t="s">
        <v>988</v>
      </c>
      <c r="J215" s="177" t="s">
        <v>1522</v>
      </c>
      <c r="K215" s="178">
        <v>480000</v>
      </c>
      <c r="L215" s="178">
        <v>480000</v>
      </c>
      <c r="M215" s="178">
        <v>480000</v>
      </c>
      <c r="O215" s="124"/>
    </row>
    <row r="216" spans="1:15" s="2" customFormat="1" ht="25.05" customHeight="1">
      <c r="A216" s="115" t="s">
        <v>759</v>
      </c>
      <c r="B216" s="120">
        <f>VLOOKUP($A216,출고가!$C:$E,3,FALSE)</f>
        <v>1980000</v>
      </c>
      <c r="C216" s="120" t="str">
        <f t="shared" si="72"/>
        <v>AIP15PM-512슬림10G</v>
      </c>
      <c r="D216" s="121" t="s">
        <v>315</v>
      </c>
      <c r="E216" s="130" t="s">
        <v>229</v>
      </c>
      <c r="F216" s="213" t="str">
        <f t="shared" si="103"/>
        <v>AIP15PM-512</v>
      </c>
      <c r="G216" s="213" t="str">
        <f>VLOOKUP(F216,출고가!C:D,2,0)</f>
        <v>iPhone 15 Pro Max 512G</v>
      </c>
      <c r="H216" s="131">
        <f t="shared" si="104"/>
        <v>1980000</v>
      </c>
      <c r="I216" s="176" t="s">
        <v>992</v>
      </c>
      <c r="J216" s="177" t="s">
        <v>1523</v>
      </c>
      <c r="K216" s="178">
        <v>430000</v>
      </c>
      <c r="L216" s="178">
        <v>430000</v>
      </c>
      <c r="M216" s="178">
        <v>430000</v>
      </c>
      <c r="O216" s="124"/>
    </row>
    <row r="217" spans="1:15" s="2" customFormat="1" ht="25.05" customHeight="1">
      <c r="A217" s="115" t="s">
        <v>759</v>
      </c>
      <c r="B217" s="120">
        <f>VLOOKUP($A217,출고가!$C:$E,3,FALSE)</f>
        <v>1980000</v>
      </c>
      <c r="C217" s="120" t="str">
        <f t="shared" ref="C217" si="105">A217&amp;I217</f>
        <v>AIP15PM-512슬림4G</v>
      </c>
      <c r="D217" s="121" t="s">
        <v>315</v>
      </c>
      <c r="E217" s="130" t="s">
        <v>229</v>
      </c>
      <c r="F217" s="213" t="str">
        <f t="shared" si="103"/>
        <v>AIP15PM-512</v>
      </c>
      <c r="G217" s="213" t="str">
        <f>VLOOKUP(F217,출고가!C:D,2,0)</f>
        <v>iPhone 15 Pro Max 512G</v>
      </c>
      <c r="H217" s="131">
        <f t="shared" si="104"/>
        <v>1980000</v>
      </c>
      <c r="I217" s="182" t="s">
        <v>990</v>
      </c>
      <c r="J217" s="183" t="s">
        <v>1524</v>
      </c>
      <c r="K217" s="184">
        <v>350000</v>
      </c>
      <c r="L217" s="184">
        <v>350000</v>
      </c>
      <c r="M217" s="184">
        <v>350000</v>
      </c>
      <c r="O217" s="124"/>
    </row>
    <row r="218" spans="1:15" s="2" customFormat="1" ht="25.05" customHeight="1">
      <c r="A218" s="115"/>
      <c r="B218" s="115"/>
      <c r="C218" s="115"/>
      <c r="D218" s="132"/>
      <c r="H218" s="133"/>
      <c r="K218" s="133"/>
      <c r="L218" s="133"/>
      <c r="M218" s="133"/>
    </row>
    <row r="219" spans="1:15" s="134" customFormat="1" ht="25.05" customHeight="1">
      <c r="A219" s="115"/>
      <c r="B219" s="115"/>
      <c r="C219" s="115"/>
      <c r="D219" s="132"/>
      <c r="E219" s="2"/>
      <c r="F219" s="2"/>
      <c r="G219" s="2"/>
      <c r="H219" s="133"/>
      <c r="I219" s="2"/>
      <c r="J219" s="2"/>
      <c r="K219" s="133"/>
      <c r="L219" s="133"/>
      <c r="M219" s="133"/>
      <c r="N219" s="2"/>
      <c r="O219" s="2"/>
    </row>
    <row r="220" spans="1:15" s="134" customFormat="1" ht="25.05" customHeight="1">
      <c r="A220" s="115"/>
      <c r="B220" s="115"/>
      <c r="C220" s="115"/>
      <c r="D220" s="132"/>
      <c r="E220" s="2"/>
      <c r="F220" s="2"/>
      <c r="G220" s="2"/>
      <c r="H220" s="133"/>
      <c r="I220" s="2"/>
      <c r="J220" s="2"/>
      <c r="K220" s="133"/>
      <c r="L220" s="133"/>
      <c r="M220" s="133"/>
      <c r="N220" s="2"/>
      <c r="O220" s="2"/>
    </row>
    <row r="221" spans="1:15" s="134" customFormat="1" ht="25.05" customHeight="1">
      <c r="A221" s="115"/>
      <c r="B221" s="115"/>
      <c r="C221" s="115"/>
      <c r="D221" s="132"/>
      <c r="E221" s="2"/>
      <c r="F221" s="2"/>
      <c r="G221" s="2"/>
      <c r="H221" s="133"/>
      <c r="I221" s="2"/>
      <c r="J221" s="2"/>
      <c r="K221" s="133"/>
      <c r="L221" s="133"/>
      <c r="M221" s="133"/>
      <c r="N221" s="2"/>
      <c r="O221" s="2"/>
    </row>
    <row r="222" spans="1:15" s="134" customFormat="1" ht="25.05" customHeight="1">
      <c r="A222" s="2"/>
      <c r="B222" s="2"/>
      <c r="C222" s="2"/>
      <c r="D222" s="132"/>
      <c r="E222" s="2"/>
      <c r="F222" s="2"/>
      <c r="G222" s="2"/>
      <c r="H222" s="133"/>
      <c r="I222" s="2"/>
      <c r="J222" s="2"/>
      <c r="K222" s="133"/>
      <c r="L222" s="133"/>
      <c r="M222" s="133"/>
      <c r="N222" s="2"/>
      <c r="O222" s="2"/>
    </row>
    <row r="223" spans="1:15" s="134" customFormat="1" ht="25.05" customHeight="1">
      <c r="A223" s="2"/>
      <c r="B223" s="2"/>
      <c r="C223" s="2"/>
      <c r="D223" s="132"/>
      <c r="E223" s="2"/>
      <c r="F223" s="2"/>
      <c r="G223" s="2"/>
      <c r="H223" s="133"/>
      <c r="I223" s="2"/>
      <c r="J223" s="2"/>
      <c r="K223" s="133"/>
      <c r="L223" s="133"/>
      <c r="M223" s="133"/>
      <c r="N223" s="2"/>
      <c r="O223" s="2"/>
    </row>
    <row r="224" spans="1:15" s="73" customFormat="1" ht="25.05" customHeight="1">
      <c r="A224"/>
      <c r="B224"/>
      <c r="C224"/>
      <c r="D224" s="85"/>
      <c r="E224"/>
      <c r="F224"/>
      <c r="G224"/>
      <c r="H224" s="74"/>
      <c r="I224"/>
      <c r="J224"/>
      <c r="K224" s="74"/>
      <c r="L224" s="74"/>
      <c r="M224" s="74"/>
      <c r="N224"/>
      <c r="O224"/>
    </row>
    <row r="225" spans="1:15" s="73" customFormat="1" ht="25.05" customHeight="1">
      <c r="A225"/>
      <c r="B225"/>
      <c r="C225"/>
      <c r="D225" s="85"/>
      <c r="E225"/>
      <c r="F225"/>
      <c r="G225"/>
      <c r="H225" s="74"/>
      <c r="I225"/>
      <c r="J225"/>
      <c r="K225" s="74"/>
      <c r="L225" s="74"/>
      <c r="M225" s="74"/>
      <c r="N225"/>
      <c r="O225"/>
    </row>
    <row r="226" spans="1:15" s="73" customFormat="1" ht="25.05" customHeight="1">
      <c r="A226"/>
      <c r="B226"/>
      <c r="C226"/>
      <c r="D226" s="85"/>
      <c r="E226"/>
      <c r="F226"/>
      <c r="G226"/>
      <c r="H226" s="74"/>
      <c r="I226"/>
      <c r="J226"/>
      <c r="K226" s="74"/>
      <c r="L226" s="74"/>
      <c r="M226" s="74"/>
      <c r="N226"/>
      <c r="O226"/>
    </row>
    <row r="227" spans="1:15" s="73" customFormat="1" ht="25.05" customHeight="1">
      <c r="A227" s="76"/>
      <c r="B227"/>
      <c r="C227"/>
      <c r="D227" s="85"/>
      <c r="E227"/>
      <c r="F227"/>
      <c r="G227"/>
      <c r="H227" s="74"/>
      <c r="I227"/>
      <c r="J227"/>
      <c r="K227" s="74"/>
      <c r="L227" s="74"/>
      <c r="M227" s="74"/>
      <c r="N227"/>
      <c r="O227"/>
    </row>
  </sheetData>
  <mergeCells count="1">
    <mergeCell ref="K1:M1"/>
  </mergeCells>
  <phoneticPr fontId="2" type="noConversion"/>
  <pageMargins left="0.70866141732283472" right="0.70866141732283472" top="0.74803149606299213" bottom="0.74803149606299213" header="0.31496062992125984" footer="0.31496062992125984"/>
  <pageSetup paperSize="8" scale="50" fitToHeight="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V10"/>
  <sheetViews>
    <sheetView zoomScale="60" zoomScaleNormal="60" workbookViewId="0">
      <selection activeCell="J38" sqref="J38"/>
    </sheetView>
  </sheetViews>
  <sheetFormatPr defaultColWidth="9" defaultRowHeight="17.399999999999999"/>
  <cols>
    <col min="1" max="1" width="4.19921875" style="76" customWidth="1"/>
    <col min="2" max="2" width="10.69921875" style="76" customWidth="1"/>
    <col min="3" max="3" width="22.09765625" style="76" customWidth="1"/>
    <col min="4" max="4" width="40.69921875" style="76" bestFit="1" customWidth="1"/>
    <col min="5" max="5" width="15.69921875" style="76" customWidth="1"/>
    <col min="6" max="6" width="20.69921875" style="76" customWidth="1"/>
    <col min="7" max="7" width="17.5" style="76" customWidth="1"/>
    <col min="8" max="8" width="15.69921875" style="76" customWidth="1"/>
    <col min="9" max="9" width="17.09765625" style="76" customWidth="1"/>
    <col min="10" max="10" width="15" style="76" customWidth="1"/>
    <col min="11" max="11" width="15.69921875" style="76" customWidth="1"/>
    <col min="12" max="12" width="15" style="76" customWidth="1"/>
    <col min="13" max="13" width="15.69921875" style="76" customWidth="1"/>
    <col min="14" max="14" width="13.69921875" style="76" customWidth="1"/>
    <col min="15" max="22" width="15.69921875" style="76" customWidth="1"/>
    <col min="23" max="16384" width="9" style="76"/>
  </cols>
  <sheetData>
    <row r="1" spans="2:22" ht="28.2" customHeight="1" thickBot="1">
      <c r="B1" s="255" t="s">
        <v>1199</v>
      </c>
      <c r="C1" s="256"/>
      <c r="D1" s="257"/>
      <c r="E1" s="257">
        <v>3</v>
      </c>
      <c r="F1" s="257"/>
      <c r="G1" s="63">
        <v>68</v>
      </c>
      <c r="H1" s="63">
        <v>67</v>
      </c>
      <c r="I1" s="63">
        <v>66</v>
      </c>
      <c r="J1" s="63">
        <v>65</v>
      </c>
      <c r="K1" s="63">
        <v>64</v>
      </c>
      <c r="L1" s="63">
        <v>57</v>
      </c>
      <c r="M1" s="63">
        <v>48</v>
      </c>
      <c r="N1" s="63">
        <v>41</v>
      </c>
      <c r="O1" s="63">
        <v>35</v>
      </c>
      <c r="P1" s="63">
        <v>33</v>
      </c>
      <c r="Q1" s="63">
        <v>32</v>
      </c>
      <c r="R1" s="63">
        <v>24</v>
      </c>
      <c r="S1" s="63">
        <v>19</v>
      </c>
      <c r="T1" s="63">
        <v>15</v>
      </c>
      <c r="U1" s="63">
        <v>11</v>
      </c>
      <c r="V1" s="63">
        <v>7</v>
      </c>
    </row>
    <row r="2" spans="2:22" ht="28.2" customHeight="1">
      <c r="B2" s="370" t="s">
        <v>1200</v>
      </c>
      <c r="C2" s="372" t="s">
        <v>1201</v>
      </c>
      <c r="D2" s="372" t="s">
        <v>486</v>
      </c>
      <c r="E2" s="374" t="s">
        <v>194</v>
      </c>
      <c r="F2" s="376" t="s">
        <v>1202</v>
      </c>
      <c r="G2" s="367" t="s">
        <v>1203</v>
      </c>
      <c r="H2" s="368"/>
      <c r="I2" s="368"/>
      <c r="J2" s="368"/>
      <c r="K2" s="368"/>
      <c r="L2" s="368"/>
      <c r="M2" s="368"/>
      <c r="N2" s="368"/>
      <c r="O2" s="368"/>
      <c r="P2" s="368"/>
      <c r="Q2" s="368"/>
      <c r="R2" s="368"/>
      <c r="S2" s="368"/>
      <c r="T2" s="368"/>
      <c r="U2" s="368"/>
      <c r="V2" s="369"/>
    </row>
    <row r="3" spans="2:22" ht="60.75" customHeight="1">
      <c r="B3" s="371"/>
      <c r="C3" s="373"/>
      <c r="D3" s="373"/>
      <c r="E3" s="375"/>
      <c r="F3" s="377"/>
      <c r="G3" s="258" t="s">
        <v>1204</v>
      </c>
      <c r="H3" s="259" t="s">
        <v>1205</v>
      </c>
      <c r="I3" s="259" t="s">
        <v>1206</v>
      </c>
      <c r="J3" s="259" t="s">
        <v>1207</v>
      </c>
      <c r="K3" s="259" t="s">
        <v>1208</v>
      </c>
      <c r="L3" s="259" t="s">
        <v>1209</v>
      </c>
      <c r="M3" s="259" t="s">
        <v>1210</v>
      </c>
      <c r="N3" s="259" t="s">
        <v>1211</v>
      </c>
      <c r="O3" s="259" t="s">
        <v>1212</v>
      </c>
      <c r="P3" s="259" t="s">
        <v>1213</v>
      </c>
      <c r="Q3" s="259" t="s">
        <v>1214</v>
      </c>
      <c r="R3" s="259" t="s">
        <v>1215</v>
      </c>
      <c r="S3" s="259" t="s">
        <v>1216</v>
      </c>
      <c r="T3" s="259" t="s">
        <v>1217</v>
      </c>
      <c r="U3" s="259" t="s">
        <v>1218</v>
      </c>
      <c r="V3" s="260" t="s">
        <v>1219</v>
      </c>
    </row>
    <row r="4" spans="2:22" ht="27.75" customHeight="1">
      <c r="B4" s="386" t="s">
        <v>1220</v>
      </c>
      <c r="C4" s="387"/>
      <c r="D4" s="387"/>
      <c r="E4" s="387"/>
      <c r="F4" s="261"/>
      <c r="G4" s="262">
        <v>780000</v>
      </c>
      <c r="H4" s="263">
        <v>660000</v>
      </c>
      <c r="I4" s="263">
        <v>600000</v>
      </c>
      <c r="J4" s="263">
        <v>540000</v>
      </c>
      <c r="K4" s="263">
        <v>480000</v>
      </c>
      <c r="L4" s="263">
        <v>414000</v>
      </c>
      <c r="M4" s="263">
        <v>366000</v>
      </c>
      <c r="N4" s="263">
        <v>330000</v>
      </c>
      <c r="O4" s="263">
        <v>294000</v>
      </c>
      <c r="P4" s="263">
        <v>282000</v>
      </c>
      <c r="Q4" s="263">
        <v>270000</v>
      </c>
      <c r="R4" s="263">
        <v>228000</v>
      </c>
      <c r="S4" s="263">
        <v>198000</v>
      </c>
      <c r="T4" s="263">
        <v>153600</v>
      </c>
      <c r="U4" s="263">
        <v>144000</v>
      </c>
      <c r="V4" s="264">
        <v>118800</v>
      </c>
    </row>
    <row r="5" spans="2:22" s="63" customFormat="1" ht="26.25" customHeight="1">
      <c r="B5" s="378" t="s">
        <v>1223</v>
      </c>
      <c r="C5" s="380" t="s">
        <v>790</v>
      </c>
      <c r="D5" s="382" t="s">
        <v>791</v>
      </c>
      <c r="E5" s="384">
        <v>599500</v>
      </c>
      <c r="F5" s="269" t="s">
        <v>1221</v>
      </c>
      <c r="G5" s="270">
        <v>350000</v>
      </c>
      <c r="H5" s="271">
        <v>350000</v>
      </c>
      <c r="I5" s="271">
        <v>350000</v>
      </c>
      <c r="J5" s="271">
        <v>350000</v>
      </c>
      <c r="K5" s="271">
        <v>350000</v>
      </c>
      <c r="L5" s="271">
        <v>350000</v>
      </c>
      <c r="M5" s="271">
        <v>350000</v>
      </c>
      <c r="N5" s="271">
        <v>350000</v>
      </c>
      <c r="O5" s="271">
        <v>350000</v>
      </c>
      <c r="P5" s="271">
        <v>350000</v>
      </c>
      <c r="Q5" s="271">
        <v>350000</v>
      </c>
      <c r="R5" s="271">
        <v>350000</v>
      </c>
      <c r="S5" s="271">
        <v>350000</v>
      </c>
      <c r="T5" s="271">
        <v>350000</v>
      </c>
      <c r="U5" s="271">
        <v>350000</v>
      </c>
      <c r="V5" s="272">
        <v>350000</v>
      </c>
    </row>
    <row r="6" spans="2:22" s="63" customFormat="1" ht="26.25" customHeight="1">
      <c r="B6" s="379"/>
      <c r="C6" s="381"/>
      <c r="D6" s="383"/>
      <c r="E6" s="385"/>
      <c r="F6" s="265" t="s">
        <v>1222</v>
      </c>
      <c r="G6" s="266">
        <v>0</v>
      </c>
      <c r="H6" s="267">
        <v>0</v>
      </c>
      <c r="I6" s="267">
        <v>0</v>
      </c>
      <c r="J6" s="267">
        <v>0</v>
      </c>
      <c r="K6" s="267">
        <v>0</v>
      </c>
      <c r="L6" s="267">
        <v>0</v>
      </c>
      <c r="M6" s="267">
        <v>0</v>
      </c>
      <c r="N6" s="267">
        <v>0</v>
      </c>
      <c r="O6" s="267">
        <v>0</v>
      </c>
      <c r="P6" s="267">
        <v>0</v>
      </c>
      <c r="Q6" s="267">
        <v>0</v>
      </c>
      <c r="R6" s="267">
        <v>0</v>
      </c>
      <c r="S6" s="267">
        <v>0</v>
      </c>
      <c r="T6" s="267">
        <v>0</v>
      </c>
      <c r="U6" s="267">
        <v>0</v>
      </c>
      <c r="V6" s="268">
        <v>0</v>
      </c>
    </row>
    <row r="7" spans="2:22" s="273" customFormat="1" ht="26.25" customHeight="1">
      <c r="B7" s="378" t="s">
        <v>1224</v>
      </c>
      <c r="C7" s="380" t="s">
        <v>1225</v>
      </c>
      <c r="D7" s="382" t="s">
        <v>1226</v>
      </c>
      <c r="E7" s="384">
        <v>319000</v>
      </c>
      <c r="F7" s="269" t="s">
        <v>1221</v>
      </c>
      <c r="G7" s="270">
        <v>234000</v>
      </c>
      <c r="H7" s="271">
        <v>234000</v>
      </c>
      <c r="I7" s="271">
        <v>234000</v>
      </c>
      <c r="J7" s="271">
        <v>234000</v>
      </c>
      <c r="K7" s="271">
        <v>234000</v>
      </c>
      <c r="L7" s="271">
        <v>234000</v>
      </c>
      <c r="M7" s="271">
        <v>234000</v>
      </c>
      <c r="N7" s="271">
        <v>234000</v>
      </c>
      <c r="O7" s="271">
        <v>234000</v>
      </c>
      <c r="P7" s="271">
        <v>234000</v>
      </c>
      <c r="Q7" s="271">
        <v>234000</v>
      </c>
      <c r="R7" s="271">
        <v>234000</v>
      </c>
      <c r="S7" s="271">
        <v>234000</v>
      </c>
      <c r="T7" s="271">
        <v>234000</v>
      </c>
      <c r="U7" s="271">
        <v>234000</v>
      </c>
      <c r="V7" s="272">
        <v>234000</v>
      </c>
    </row>
    <row r="8" spans="2:22" s="273" customFormat="1" ht="26.25" customHeight="1">
      <c r="B8" s="379"/>
      <c r="C8" s="381"/>
      <c r="D8" s="383"/>
      <c r="E8" s="385"/>
      <c r="F8" s="265" t="s">
        <v>1222</v>
      </c>
      <c r="G8" s="266">
        <v>50000</v>
      </c>
      <c r="H8" s="267">
        <v>50000</v>
      </c>
      <c r="I8" s="267">
        <v>50000</v>
      </c>
      <c r="J8" s="267">
        <v>50000</v>
      </c>
      <c r="K8" s="267">
        <v>50000</v>
      </c>
      <c r="L8" s="267">
        <v>50000</v>
      </c>
      <c r="M8" s="267">
        <v>50000</v>
      </c>
      <c r="N8" s="267">
        <v>50000</v>
      </c>
      <c r="O8" s="267">
        <v>50000</v>
      </c>
      <c r="P8" s="267">
        <v>50000</v>
      </c>
      <c r="Q8" s="267">
        <v>50000</v>
      </c>
      <c r="R8" s="267">
        <v>50000</v>
      </c>
      <c r="S8" s="267">
        <v>50000</v>
      </c>
      <c r="T8" s="267">
        <v>50000</v>
      </c>
      <c r="U8" s="267">
        <v>50000</v>
      </c>
      <c r="V8" s="268">
        <v>50000</v>
      </c>
    </row>
    <row r="9" spans="2:22" s="63" customFormat="1" ht="26.25" customHeight="1">
      <c r="B9" s="378" t="s">
        <v>1227</v>
      </c>
      <c r="C9" s="380" t="s">
        <v>1228</v>
      </c>
      <c r="D9" s="382" t="s">
        <v>1229</v>
      </c>
      <c r="E9" s="384">
        <v>320100</v>
      </c>
      <c r="F9" s="269" t="s">
        <v>1221</v>
      </c>
      <c r="G9" s="270">
        <v>275000</v>
      </c>
      <c r="H9" s="271">
        <v>275000</v>
      </c>
      <c r="I9" s="271">
        <v>275000</v>
      </c>
      <c r="J9" s="271">
        <v>275000</v>
      </c>
      <c r="K9" s="271">
        <v>275000</v>
      </c>
      <c r="L9" s="271">
        <v>275000</v>
      </c>
      <c r="M9" s="271">
        <v>275000</v>
      </c>
      <c r="N9" s="271">
        <v>275000</v>
      </c>
      <c r="O9" s="271">
        <v>275000</v>
      </c>
      <c r="P9" s="271">
        <v>275000</v>
      </c>
      <c r="Q9" s="271">
        <v>275000</v>
      </c>
      <c r="R9" s="271">
        <v>275000</v>
      </c>
      <c r="S9" s="271">
        <v>275000</v>
      </c>
      <c r="T9" s="271">
        <v>275000</v>
      </c>
      <c r="U9" s="271">
        <v>275000</v>
      </c>
      <c r="V9" s="272">
        <v>275000</v>
      </c>
    </row>
    <row r="10" spans="2:22" s="63" customFormat="1" ht="26.25" customHeight="1">
      <c r="B10" s="379"/>
      <c r="C10" s="381"/>
      <c r="D10" s="383"/>
      <c r="E10" s="385"/>
      <c r="F10" s="265" t="s">
        <v>1222</v>
      </c>
      <c r="G10" s="266">
        <v>0</v>
      </c>
      <c r="H10" s="267">
        <v>0</v>
      </c>
      <c r="I10" s="267">
        <v>0</v>
      </c>
      <c r="J10" s="267">
        <v>0</v>
      </c>
      <c r="K10" s="267">
        <v>0</v>
      </c>
      <c r="L10" s="267">
        <v>0</v>
      </c>
      <c r="M10" s="267">
        <v>0</v>
      </c>
      <c r="N10" s="267">
        <v>0</v>
      </c>
      <c r="O10" s="267">
        <v>0</v>
      </c>
      <c r="P10" s="267">
        <v>0</v>
      </c>
      <c r="Q10" s="267">
        <v>0</v>
      </c>
      <c r="R10" s="267">
        <v>0</v>
      </c>
      <c r="S10" s="267">
        <v>0</v>
      </c>
      <c r="T10" s="267">
        <v>0</v>
      </c>
      <c r="U10" s="267">
        <v>0</v>
      </c>
      <c r="V10" s="268">
        <v>0</v>
      </c>
    </row>
  </sheetData>
  <mergeCells count="19">
    <mergeCell ref="B9:B10"/>
    <mergeCell ref="C9:C10"/>
    <mergeCell ref="D9:D10"/>
    <mergeCell ref="E9:E10"/>
    <mergeCell ref="B7:B8"/>
    <mergeCell ref="C7:C8"/>
    <mergeCell ref="D7:D8"/>
    <mergeCell ref="E7:E8"/>
    <mergeCell ref="B5:B6"/>
    <mergeCell ref="C5:C6"/>
    <mergeCell ref="D5:D6"/>
    <mergeCell ref="E5:E6"/>
    <mergeCell ref="B4:E4"/>
    <mergeCell ref="G2:V2"/>
    <mergeCell ref="B2:B3"/>
    <mergeCell ref="C2:C3"/>
    <mergeCell ref="D2:D3"/>
    <mergeCell ref="E2:E3"/>
    <mergeCell ref="F2:F3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245"/>
  <sheetViews>
    <sheetView zoomScale="80" zoomScaleNormal="80" workbookViewId="0">
      <selection activeCell="B31" sqref="B31"/>
    </sheetView>
  </sheetViews>
  <sheetFormatPr defaultColWidth="9" defaultRowHeight="15.6"/>
  <cols>
    <col min="1" max="1" width="31.296875" style="155" customWidth="1"/>
    <col min="2" max="2" width="16.19921875" style="155" customWidth="1"/>
    <col min="3" max="3" width="6.19921875" style="155" customWidth="1"/>
    <col min="4" max="4" width="31.296875" style="155" customWidth="1"/>
    <col min="5" max="5" width="16.19921875" style="155" customWidth="1"/>
    <col min="6" max="6" width="31.296875" style="155" customWidth="1"/>
    <col min="7" max="7" width="16.19921875" style="155" customWidth="1"/>
    <col min="8" max="8" width="29.59765625" style="155" bestFit="1" customWidth="1"/>
    <col min="9" max="9" width="16.19921875" style="155" customWidth="1"/>
    <col min="10" max="10" width="31.19921875" style="155" customWidth="1"/>
    <col min="11" max="11" width="16.19921875" style="155" customWidth="1"/>
    <col min="12" max="12" width="31.19921875" style="155" customWidth="1"/>
    <col min="13" max="13" width="16.09765625" style="155" customWidth="1"/>
    <col min="14" max="14" width="31.19921875" style="155" customWidth="1"/>
    <col min="15" max="15" width="16.09765625" style="155" customWidth="1"/>
    <col min="16" max="16" width="31.19921875" style="155" customWidth="1"/>
    <col min="17" max="17" width="16.19921875" style="155" customWidth="1"/>
    <col min="18" max="18" width="31.19921875" style="155" customWidth="1"/>
    <col min="19" max="19" width="16.19921875" style="155" customWidth="1"/>
    <col min="20" max="20" width="31.19921875" style="155" customWidth="1"/>
    <col min="21" max="21" width="16.19921875" style="155" customWidth="1"/>
    <col min="22" max="22" width="31.19921875" style="155" bestFit="1" customWidth="1"/>
    <col min="23" max="23" width="16.19921875" style="155" customWidth="1"/>
    <col min="24" max="24" width="31.19921875" style="155" bestFit="1" customWidth="1"/>
    <col min="25" max="25" width="16.19921875" style="155" customWidth="1"/>
    <col min="26" max="16384" width="9" style="136"/>
  </cols>
  <sheetData>
    <row r="1" spans="1:25" ht="27" customHeight="1">
      <c r="A1" s="135" t="s">
        <v>1230</v>
      </c>
      <c r="B1" s="136"/>
      <c r="C1" s="136"/>
      <c r="D1" s="135"/>
      <c r="E1" s="136"/>
      <c r="F1" s="135"/>
      <c r="G1" s="136"/>
      <c r="H1" s="136"/>
      <c r="I1" s="136"/>
      <c r="J1" s="136"/>
      <c r="K1" s="136"/>
      <c r="L1" s="136"/>
      <c r="M1" s="136"/>
      <c r="N1" s="136"/>
      <c r="O1" s="136"/>
      <c r="P1" s="137"/>
      <c r="Q1" s="138"/>
      <c r="R1" s="138"/>
      <c r="S1" s="138"/>
      <c r="T1" s="138"/>
      <c r="U1" s="138"/>
      <c r="V1" s="138"/>
      <c r="W1" s="138"/>
      <c r="X1" s="138"/>
      <c r="Y1" s="138"/>
    </row>
    <row r="2" spans="1:25" ht="4.95" customHeight="1" thickBot="1">
      <c r="A2" s="136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</row>
    <row r="3" spans="1:25" ht="53.55" customHeight="1" thickBot="1">
      <c r="A3" s="390" t="s">
        <v>1031</v>
      </c>
      <c r="B3" s="391"/>
      <c r="C3" s="136"/>
      <c r="D3" s="388" t="s">
        <v>994</v>
      </c>
      <c r="E3" s="389"/>
      <c r="F3" s="388" t="s">
        <v>1231</v>
      </c>
      <c r="G3" s="389"/>
      <c r="H3" s="388" t="s">
        <v>995</v>
      </c>
      <c r="I3" s="389"/>
      <c r="J3" s="388" t="s">
        <v>996</v>
      </c>
      <c r="K3" s="389"/>
      <c r="L3" s="388" t="s">
        <v>997</v>
      </c>
      <c r="M3" s="394"/>
      <c r="N3" s="388" t="s">
        <v>998</v>
      </c>
      <c r="O3" s="394"/>
      <c r="P3" s="388" t="s">
        <v>999</v>
      </c>
      <c r="Q3" s="389"/>
      <c r="R3" s="388" t="s">
        <v>1000</v>
      </c>
      <c r="S3" s="389"/>
      <c r="T3" s="392" t="s">
        <v>1001</v>
      </c>
      <c r="U3" s="393"/>
      <c r="V3" s="388" t="s">
        <v>1196</v>
      </c>
      <c r="W3" s="394"/>
      <c r="X3" s="388" t="s">
        <v>1002</v>
      </c>
      <c r="Y3" s="394"/>
    </row>
    <row r="4" spans="1:25" ht="19.95" customHeight="1" thickBot="1">
      <c r="A4" s="139" t="s">
        <v>548</v>
      </c>
      <c r="B4" s="140" t="s">
        <v>549</v>
      </c>
      <c r="C4" s="136"/>
      <c r="D4" s="139" t="s">
        <v>548</v>
      </c>
      <c r="E4" s="140" t="s">
        <v>549</v>
      </c>
      <c r="F4" s="139" t="s">
        <v>548</v>
      </c>
      <c r="G4" s="140" t="s">
        <v>549</v>
      </c>
      <c r="H4" s="142"/>
      <c r="I4" s="142"/>
      <c r="J4" s="139" t="s">
        <v>550</v>
      </c>
      <c r="K4" s="140" t="s">
        <v>549</v>
      </c>
      <c r="L4" s="139" t="s">
        <v>548</v>
      </c>
      <c r="M4" s="140" t="s">
        <v>549</v>
      </c>
      <c r="N4" s="139" t="s">
        <v>548</v>
      </c>
      <c r="O4" s="140" t="s">
        <v>549</v>
      </c>
      <c r="P4" s="141" t="s">
        <v>550</v>
      </c>
      <c r="Q4" s="140" t="s">
        <v>549</v>
      </c>
      <c r="R4" s="141" t="s">
        <v>550</v>
      </c>
      <c r="S4" s="140" t="s">
        <v>549</v>
      </c>
      <c r="T4" s="141" t="s">
        <v>550</v>
      </c>
      <c r="U4" s="140" t="s">
        <v>549</v>
      </c>
      <c r="V4" s="142" t="s">
        <v>550</v>
      </c>
      <c r="W4" s="140" t="s">
        <v>549</v>
      </c>
      <c r="X4" s="142" t="s">
        <v>550</v>
      </c>
      <c r="Y4" s="140" t="s">
        <v>549</v>
      </c>
    </row>
    <row r="5" spans="1:25">
      <c r="A5" s="237" t="s">
        <v>1032</v>
      </c>
      <c r="B5" s="238" t="s">
        <v>1033</v>
      </c>
      <c r="C5" s="145"/>
      <c r="D5" s="146" t="s">
        <v>1003</v>
      </c>
      <c r="E5" s="144" t="s">
        <v>552</v>
      </c>
      <c r="F5" s="146" t="s">
        <v>1003</v>
      </c>
      <c r="G5" s="144" t="s">
        <v>552</v>
      </c>
      <c r="H5" s="146" t="s">
        <v>1004</v>
      </c>
      <c r="I5" s="144" t="s">
        <v>552</v>
      </c>
      <c r="J5" s="143" t="s">
        <v>1004</v>
      </c>
      <c r="K5" s="144" t="s">
        <v>553</v>
      </c>
      <c r="L5" s="146" t="s">
        <v>1004</v>
      </c>
      <c r="M5" s="144" t="s">
        <v>553</v>
      </c>
      <c r="N5" s="146" t="s">
        <v>357</v>
      </c>
      <c r="O5" s="144" t="s">
        <v>554</v>
      </c>
      <c r="P5" s="146" t="s">
        <v>357</v>
      </c>
      <c r="Q5" s="144" t="s">
        <v>554</v>
      </c>
      <c r="R5" s="146" t="s">
        <v>357</v>
      </c>
      <c r="S5" s="144" t="s">
        <v>554</v>
      </c>
      <c r="T5" s="146" t="s">
        <v>555</v>
      </c>
      <c r="U5" s="148" t="s">
        <v>556</v>
      </c>
      <c r="V5" s="146" t="s">
        <v>555</v>
      </c>
      <c r="W5" s="144" t="s">
        <v>556</v>
      </c>
      <c r="X5" s="146" t="s">
        <v>557</v>
      </c>
      <c r="Y5" s="148" t="s">
        <v>558</v>
      </c>
    </row>
    <row r="6" spans="1:25">
      <c r="A6" s="237" t="s">
        <v>1034</v>
      </c>
      <c r="B6" s="238" t="s">
        <v>1035</v>
      </c>
      <c r="C6" s="145"/>
      <c r="D6" s="146" t="s">
        <v>1005</v>
      </c>
      <c r="E6" s="148" t="s">
        <v>1006</v>
      </c>
      <c r="F6" s="146" t="s">
        <v>1005</v>
      </c>
      <c r="G6" s="148" t="s">
        <v>1006</v>
      </c>
      <c r="H6" s="146" t="s">
        <v>1005</v>
      </c>
      <c r="I6" s="148" t="s">
        <v>1006</v>
      </c>
      <c r="J6" s="146" t="s">
        <v>1005</v>
      </c>
      <c r="K6" s="148" t="s">
        <v>1006</v>
      </c>
      <c r="L6" s="146" t="s">
        <v>1005</v>
      </c>
      <c r="M6" s="148" t="s">
        <v>1006</v>
      </c>
      <c r="N6" s="146" t="s">
        <v>555</v>
      </c>
      <c r="O6" s="148" t="s">
        <v>556</v>
      </c>
      <c r="P6" s="146" t="s">
        <v>555</v>
      </c>
      <c r="Q6" s="148" t="s">
        <v>556</v>
      </c>
      <c r="R6" s="146" t="s">
        <v>555</v>
      </c>
      <c r="S6" s="148" t="s">
        <v>556</v>
      </c>
      <c r="T6" s="146" t="s">
        <v>562</v>
      </c>
      <c r="U6" s="148" t="s">
        <v>569</v>
      </c>
      <c r="V6" s="146" t="s">
        <v>562</v>
      </c>
      <c r="W6" s="148" t="s">
        <v>563</v>
      </c>
      <c r="X6" s="146" t="s">
        <v>564</v>
      </c>
      <c r="Y6" s="148" t="s">
        <v>565</v>
      </c>
    </row>
    <row r="7" spans="1:25">
      <c r="A7" s="237" t="s">
        <v>1036</v>
      </c>
      <c r="B7" s="238" t="s">
        <v>1037</v>
      </c>
      <c r="C7" s="145"/>
      <c r="D7" s="146" t="s">
        <v>559</v>
      </c>
      <c r="E7" s="148" t="s">
        <v>560</v>
      </c>
      <c r="F7" s="146" t="s">
        <v>559</v>
      </c>
      <c r="G7" s="148" t="s">
        <v>560</v>
      </c>
      <c r="H7" s="146" t="s">
        <v>559</v>
      </c>
      <c r="I7" s="148" t="s">
        <v>560</v>
      </c>
      <c r="J7" s="146" t="s">
        <v>559</v>
      </c>
      <c r="K7" s="148" t="s">
        <v>561</v>
      </c>
      <c r="L7" s="146" t="s">
        <v>559</v>
      </c>
      <c r="M7" s="148" t="s">
        <v>561</v>
      </c>
      <c r="N7" s="146" t="s">
        <v>1007</v>
      </c>
      <c r="O7" s="148" t="s">
        <v>568</v>
      </c>
      <c r="P7" s="146" t="s">
        <v>1008</v>
      </c>
      <c r="Q7" s="148" t="s">
        <v>568</v>
      </c>
      <c r="R7" s="146" t="s">
        <v>562</v>
      </c>
      <c r="S7" s="148" t="s">
        <v>569</v>
      </c>
      <c r="T7" s="146" t="s">
        <v>557</v>
      </c>
      <c r="U7" s="148" t="s">
        <v>558</v>
      </c>
      <c r="V7" s="146" t="s">
        <v>557</v>
      </c>
      <c r="W7" s="148" t="s">
        <v>558</v>
      </c>
      <c r="X7" s="146" t="s">
        <v>570</v>
      </c>
      <c r="Y7" s="148" t="s">
        <v>571</v>
      </c>
    </row>
    <row r="8" spans="1:25">
      <c r="A8" s="237" t="s">
        <v>1038</v>
      </c>
      <c r="B8" s="238" t="s">
        <v>1039</v>
      </c>
      <c r="C8" s="145"/>
      <c r="D8" s="146" t="s">
        <v>357</v>
      </c>
      <c r="E8" s="148" t="s">
        <v>566</v>
      </c>
      <c r="F8" s="146" t="s">
        <v>357</v>
      </c>
      <c r="G8" s="148" t="s">
        <v>566</v>
      </c>
      <c r="H8" s="146" t="s">
        <v>357</v>
      </c>
      <c r="I8" s="148" t="s">
        <v>566</v>
      </c>
      <c r="J8" s="146" t="s">
        <v>357</v>
      </c>
      <c r="K8" s="148" t="s">
        <v>554</v>
      </c>
      <c r="L8" s="146" t="s">
        <v>357</v>
      </c>
      <c r="M8" s="148" t="s">
        <v>554</v>
      </c>
      <c r="N8" s="146" t="s">
        <v>1009</v>
      </c>
      <c r="O8" s="148" t="s">
        <v>1010</v>
      </c>
      <c r="P8" s="146" t="s">
        <v>562</v>
      </c>
      <c r="Q8" s="148" t="s">
        <v>563</v>
      </c>
      <c r="R8" s="146" t="s">
        <v>573</v>
      </c>
      <c r="S8" s="148" t="s">
        <v>574</v>
      </c>
      <c r="T8" s="146" t="s">
        <v>564</v>
      </c>
      <c r="U8" s="148" t="s">
        <v>565</v>
      </c>
      <c r="V8" s="146" t="s">
        <v>564</v>
      </c>
      <c r="W8" s="148" t="s">
        <v>565</v>
      </c>
      <c r="X8" s="147" t="s">
        <v>575</v>
      </c>
      <c r="Y8" s="148" t="s">
        <v>576</v>
      </c>
    </row>
    <row r="9" spans="1:25">
      <c r="A9" s="237" t="s">
        <v>1040</v>
      </c>
      <c r="B9" s="238" t="s">
        <v>1041</v>
      </c>
      <c r="C9" s="145"/>
      <c r="D9" s="146" t="s">
        <v>555</v>
      </c>
      <c r="E9" s="148" t="s">
        <v>572</v>
      </c>
      <c r="F9" s="146" t="s">
        <v>555</v>
      </c>
      <c r="G9" s="148" t="s">
        <v>572</v>
      </c>
      <c r="H9" s="146" t="s">
        <v>555</v>
      </c>
      <c r="I9" s="148" t="s">
        <v>572</v>
      </c>
      <c r="J9" s="146" t="s">
        <v>555</v>
      </c>
      <c r="K9" s="148" t="s">
        <v>556</v>
      </c>
      <c r="L9" s="146" t="s">
        <v>555</v>
      </c>
      <c r="M9" s="148" t="s">
        <v>556</v>
      </c>
      <c r="N9" s="146" t="s">
        <v>1011</v>
      </c>
      <c r="O9" s="148" t="s">
        <v>1012</v>
      </c>
      <c r="P9" s="146" t="s">
        <v>573</v>
      </c>
      <c r="Q9" s="148" t="s">
        <v>574</v>
      </c>
      <c r="R9" s="146" t="s">
        <v>557</v>
      </c>
      <c r="S9" s="148" t="s">
        <v>558</v>
      </c>
      <c r="T9" s="146" t="s">
        <v>577</v>
      </c>
      <c r="U9" s="148" t="s">
        <v>578</v>
      </c>
      <c r="V9" s="146" t="s">
        <v>570</v>
      </c>
      <c r="W9" s="148" t="s">
        <v>571</v>
      </c>
      <c r="X9" s="146" t="s">
        <v>579</v>
      </c>
      <c r="Y9" s="148" t="s">
        <v>580</v>
      </c>
    </row>
    <row r="10" spans="1:25">
      <c r="A10" s="237" t="s">
        <v>1042</v>
      </c>
      <c r="B10" s="238" t="s">
        <v>1043</v>
      </c>
      <c r="C10" s="145"/>
      <c r="D10" s="146" t="s">
        <v>567</v>
      </c>
      <c r="E10" s="148" t="s">
        <v>568</v>
      </c>
      <c r="F10" s="146" t="s">
        <v>567</v>
      </c>
      <c r="G10" s="148" t="s">
        <v>568</v>
      </c>
      <c r="H10" s="146" t="s">
        <v>567</v>
      </c>
      <c r="I10" s="148" t="s">
        <v>568</v>
      </c>
      <c r="J10" s="146" t="s">
        <v>567</v>
      </c>
      <c r="K10" s="148" t="s">
        <v>568</v>
      </c>
      <c r="L10" s="146" t="s">
        <v>567</v>
      </c>
      <c r="M10" s="148" t="s">
        <v>568</v>
      </c>
      <c r="N10" s="146" t="s">
        <v>1013</v>
      </c>
      <c r="O10" s="148" t="s">
        <v>1014</v>
      </c>
      <c r="P10" s="146" t="s">
        <v>557</v>
      </c>
      <c r="Q10" s="148" t="s">
        <v>558</v>
      </c>
      <c r="R10" s="146" t="s">
        <v>564</v>
      </c>
      <c r="S10" s="148" t="s">
        <v>565</v>
      </c>
      <c r="T10" s="146" t="s">
        <v>583</v>
      </c>
      <c r="U10" s="148" t="s">
        <v>584</v>
      </c>
      <c r="V10" s="146" t="s">
        <v>575</v>
      </c>
      <c r="W10" s="148" t="s">
        <v>576</v>
      </c>
      <c r="X10" s="146" t="s">
        <v>585</v>
      </c>
      <c r="Y10" s="148" t="s">
        <v>586</v>
      </c>
    </row>
    <row r="11" spans="1:25">
      <c r="A11" s="237" t="s">
        <v>1044</v>
      </c>
      <c r="B11" s="238" t="s">
        <v>1045</v>
      </c>
      <c r="C11" s="145"/>
      <c r="D11" s="146" t="s">
        <v>1009</v>
      </c>
      <c r="E11" s="148" t="s">
        <v>1010</v>
      </c>
      <c r="F11" s="146" t="s">
        <v>1009</v>
      </c>
      <c r="G11" s="148" t="s">
        <v>1010</v>
      </c>
      <c r="H11" s="146" t="s">
        <v>1009</v>
      </c>
      <c r="I11" s="148" t="s">
        <v>1010</v>
      </c>
      <c r="J11" s="146" t="s">
        <v>1009</v>
      </c>
      <c r="K11" s="148" t="s">
        <v>1010</v>
      </c>
      <c r="L11" s="146" t="s">
        <v>1009</v>
      </c>
      <c r="M11" s="148" t="s">
        <v>1010</v>
      </c>
      <c r="N11" s="146" t="s">
        <v>562</v>
      </c>
      <c r="O11" s="148" t="s">
        <v>563</v>
      </c>
      <c r="P11" s="146" t="s">
        <v>564</v>
      </c>
      <c r="Q11" s="148" t="s">
        <v>565</v>
      </c>
      <c r="R11" s="146" t="s">
        <v>577</v>
      </c>
      <c r="S11" s="148" t="s">
        <v>578</v>
      </c>
      <c r="T11" s="146" t="s">
        <v>570</v>
      </c>
      <c r="U11" s="148" t="s">
        <v>571</v>
      </c>
      <c r="V11" s="146" t="s">
        <v>579</v>
      </c>
      <c r="W11" s="148" t="s">
        <v>580</v>
      </c>
      <c r="X11" s="146" t="s">
        <v>587</v>
      </c>
      <c r="Y11" s="148" t="s">
        <v>588</v>
      </c>
    </row>
    <row r="12" spans="1:25">
      <c r="A12" s="237" t="s">
        <v>1046</v>
      </c>
      <c r="B12" s="238" t="s">
        <v>1047</v>
      </c>
      <c r="C12" s="145"/>
      <c r="D12" s="146" t="s">
        <v>1011</v>
      </c>
      <c r="E12" s="148" t="s">
        <v>1012</v>
      </c>
      <c r="F12" s="146" t="s">
        <v>1011</v>
      </c>
      <c r="G12" s="148" t="s">
        <v>1012</v>
      </c>
      <c r="H12" s="146" t="s">
        <v>1011</v>
      </c>
      <c r="I12" s="148" t="s">
        <v>1012</v>
      </c>
      <c r="J12" s="146" t="s">
        <v>1011</v>
      </c>
      <c r="K12" s="148" t="s">
        <v>1012</v>
      </c>
      <c r="L12" s="146" t="s">
        <v>1011</v>
      </c>
      <c r="M12" s="148" t="s">
        <v>1012</v>
      </c>
      <c r="N12" s="146" t="s">
        <v>573</v>
      </c>
      <c r="O12" s="148" t="s">
        <v>574</v>
      </c>
      <c r="P12" s="146" t="s">
        <v>577</v>
      </c>
      <c r="Q12" s="148" t="s">
        <v>578</v>
      </c>
      <c r="R12" s="146" t="s">
        <v>589</v>
      </c>
      <c r="S12" s="148" t="s">
        <v>590</v>
      </c>
      <c r="T12" s="146" t="s">
        <v>575</v>
      </c>
      <c r="U12" s="148" t="s">
        <v>576</v>
      </c>
      <c r="V12" s="146" t="s">
        <v>585</v>
      </c>
      <c r="W12" s="148" t="s">
        <v>586</v>
      </c>
      <c r="X12" s="146" t="s">
        <v>591</v>
      </c>
      <c r="Y12" s="148" t="s">
        <v>592</v>
      </c>
    </row>
    <row r="13" spans="1:25">
      <c r="A13" s="237" t="s">
        <v>1048</v>
      </c>
      <c r="B13" s="238" t="s">
        <v>1049</v>
      </c>
      <c r="C13" s="145"/>
      <c r="D13" s="146" t="s">
        <v>1013</v>
      </c>
      <c r="E13" s="148" t="s">
        <v>1014</v>
      </c>
      <c r="F13" s="146" t="s">
        <v>1013</v>
      </c>
      <c r="G13" s="148" t="s">
        <v>1014</v>
      </c>
      <c r="H13" s="146" t="s">
        <v>1013</v>
      </c>
      <c r="I13" s="148" t="s">
        <v>1014</v>
      </c>
      <c r="J13" s="146" t="s">
        <v>1013</v>
      </c>
      <c r="K13" s="148" t="s">
        <v>1014</v>
      </c>
      <c r="L13" s="146" t="s">
        <v>1013</v>
      </c>
      <c r="M13" s="148" t="s">
        <v>1014</v>
      </c>
      <c r="N13" s="146" t="s">
        <v>557</v>
      </c>
      <c r="O13" s="148" t="s">
        <v>558</v>
      </c>
      <c r="P13" s="146" t="s">
        <v>589</v>
      </c>
      <c r="Q13" s="148" t="s">
        <v>590</v>
      </c>
      <c r="R13" s="146" t="s">
        <v>583</v>
      </c>
      <c r="S13" s="148" t="s">
        <v>584</v>
      </c>
      <c r="T13" s="146" t="s">
        <v>579</v>
      </c>
      <c r="U13" s="148" t="s">
        <v>580</v>
      </c>
      <c r="V13" s="146" t="s">
        <v>587</v>
      </c>
      <c r="W13" s="148" t="s">
        <v>588</v>
      </c>
      <c r="X13" s="146" t="s">
        <v>595</v>
      </c>
      <c r="Y13" s="151" t="s">
        <v>596</v>
      </c>
    </row>
    <row r="14" spans="1:25">
      <c r="A14" s="237" t="s">
        <v>1050</v>
      </c>
      <c r="B14" s="238" t="s">
        <v>1051</v>
      </c>
      <c r="C14" s="145"/>
      <c r="D14" s="146" t="s">
        <v>581</v>
      </c>
      <c r="E14" s="148" t="s">
        <v>582</v>
      </c>
      <c r="F14" s="146" t="s">
        <v>581</v>
      </c>
      <c r="G14" s="148" t="s">
        <v>582</v>
      </c>
      <c r="H14" s="146" t="s">
        <v>581</v>
      </c>
      <c r="I14" s="148" t="s">
        <v>582</v>
      </c>
      <c r="J14" s="149" t="s">
        <v>581</v>
      </c>
      <c r="K14" s="150" t="s">
        <v>582</v>
      </c>
      <c r="L14" s="149" t="s">
        <v>581</v>
      </c>
      <c r="M14" s="150" t="s">
        <v>582</v>
      </c>
      <c r="N14" s="146" t="s">
        <v>564</v>
      </c>
      <c r="O14" s="148" t="s">
        <v>565</v>
      </c>
      <c r="P14" s="146" t="s">
        <v>583</v>
      </c>
      <c r="Q14" s="148" t="s">
        <v>584</v>
      </c>
      <c r="R14" s="146" t="s">
        <v>570</v>
      </c>
      <c r="S14" s="148" t="s">
        <v>571</v>
      </c>
      <c r="T14" s="146" t="s">
        <v>585</v>
      </c>
      <c r="U14" s="148" t="s">
        <v>586</v>
      </c>
      <c r="V14" s="146" t="s">
        <v>591</v>
      </c>
      <c r="W14" s="148" t="s">
        <v>592</v>
      </c>
      <c r="X14" s="146" t="s">
        <v>600</v>
      </c>
      <c r="Y14" s="151" t="s">
        <v>601</v>
      </c>
    </row>
    <row r="15" spans="1:25">
      <c r="A15" s="237" t="s">
        <v>1052</v>
      </c>
      <c r="B15" s="238" t="s">
        <v>1053</v>
      </c>
      <c r="C15" s="145"/>
      <c r="D15" s="146" t="s">
        <v>562</v>
      </c>
      <c r="E15" s="148" t="s">
        <v>563</v>
      </c>
      <c r="F15" s="146" t="s">
        <v>562</v>
      </c>
      <c r="G15" s="148" t="s">
        <v>563</v>
      </c>
      <c r="H15" s="146" t="s">
        <v>562</v>
      </c>
      <c r="I15" s="148" t="s">
        <v>563</v>
      </c>
      <c r="J15" s="146" t="s">
        <v>562</v>
      </c>
      <c r="K15" s="148" t="s">
        <v>563</v>
      </c>
      <c r="L15" s="146" t="s">
        <v>562</v>
      </c>
      <c r="M15" s="148" t="s">
        <v>563</v>
      </c>
      <c r="N15" s="146" t="s">
        <v>577</v>
      </c>
      <c r="O15" s="148" t="s">
        <v>578</v>
      </c>
      <c r="P15" s="146" t="s">
        <v>570</v>
      </c>
      <c r="Q15" s="148" t="s">
        <v>571</v>
      </c>
      <c r="R15" s="146" t="s">
        <v>575</v>
      </c>
      <c r="S15" s="148" t="s">
        <v>576</v>
      </c>
      <c r="T15" s="146" t="s">
        <v>602</v>
      </c>
      <c r="U15" s="148" t="s">
        <v>603</v>
      </c>
      <c r="V15" s="146" t="s">
        <v>595</v>
      </c>
      <c r="W15" s="151" t="s">
        <v>596</v>
      </c>
      <c r="X15" s="274" t="s">
        <v>604</v>
      </c>
      <c r="Y15" s="275" t="s">
        <v>1232</v>
      </c>
    </row>
    <row r="16" spans="1:25">
      <c r="A16" s="237" t="s">
        <v>1054</v>
      </c>
      <c r="B16" s="238" t="s">
        <v>1055</v>
      </c>
      <c r="C16" s="145"/>
      <c r="D16" s="146" t="s">
        <v>573</v>
      </c>
      <c r="E16" s="148" t="s">
        <v>574</v>
      </c>
      <c r="F16" s="146" t="s">
        <v>573</v>
      </c>
      <c r="G16" s="148" t="s">
        <v>574</v>
      </c>
      <c r="H16" s="146" t="s">
        <v>573</v>
      </c>
      <c r="I16" s="148" t="s">
        <v>574</v>
      </c>
      <c r="J16" s="146" t="s">
        <v>573</v>
      </c>
      <c r="K16" s="148" t="s">
        <v>574</v>
      </c>
      <c r="L16" s="146" t="s">
        <v>573</v>
      </c>
      <c r="M16" s="148" t="s">
        <v>574</v>
      </c>
      <c r="N16" s="146" t="s">
        <v>589</v>
      </c>
      <c r="O16" s="148" t="s">
        <v>590</v>
      </c>
      <c r="P16" s="146" t="s">
        <v>575</v>
      </c>
      <c r="Q16" s="148" t="s">
        <v>576</v>
      </c>
      <c r="R16" s="146" t="s">
        <v>579</v>
      </c>
      <c r="S16" s="148" t="s">
        <v>580</v>
      </c>
      <c r="T16" s="146" t="s">
        <v>587</v>
      </c>
      <c r="U16" s="148" t="s">
        <v>588</v>
      </c>
      <c r="V16" s="146" t="s">
        <v>600</v>
      </c>
      <c r="W16" s="151" t="s">
        <v>601</v>
      </c>
      <c r="X16" s="274" t="s">
        <v>605</v>
      </c>
      <c r="Y16" s="275" t="s">
        <v>1233</v>
      </c>
    </row>
    <row r="17" spans="1:25">
      <c r="A17" s="237" t="s">
        <v>1056</v>
      </c>
      <c r="B17" s="238" t="s">
        <v>1057</v>
      </c>
      <c r="C17" s="145"/>
      <c r="D17" s="146" t="s">
        <v>593</v>
      </c>
      <c r="E17" s="148" t="s">
        <v>594</v>
      </c>
      <c r="F17" s="146" t="s">
        <v>593</v>
      </c>
      <c r="G17" s="148" t="s">
        <v>594</v>
      </c>
      <c r="H17" s="146" t="s">
        <v>593</v>
      </c>
      <c r="I17" s="148" t="s">
        <v>594</v>
      </c>
      <c r="J17" s="146" t="s">
        <v>593</v>
      </c>
      <c r="K17" s="148" t="s">
        <v>594</v>
      </c>
      <c r="L17" s="146" t="s">
        <v>593</v>
      </c>
      <c r="M17" s="148" t="s">
        <v>594</v>
      </c>
      <c r="N17" s="146" t="s">
        <v>583</v>
      </c>
      <c r="O17" s="148" t="s">
        <v>584</v>
      </c>
      <c r="P17" s="146" t="s">
        <v>606</v>
      </c>
      <c r="Q17" s="148" t="s">
        <v>607</v>
      </c>
      <c r="R17" s="146" t="s">
        <v>585</v>
      </c>
      <c r="S17" s="148" t="s">
        <v>586</v>
      </c>
      <c r="T17" s="146" t="s">
        <v>591</v>
      </c>
      <c r="U17" s="148" t="s">
        <v>592</v>
      </c>
      <c r="V17" s="274" t="s">
        <v>604</v>
      </c>
      <c r="W17" s="275" t="s">
        <v>1232</v>
      </c>
      <c r="X17" s="146" t="s">
        <v>608</v>
      </c>
      <c r="Y17" s="148" t="s">
        <v>609</v>
      </c>
    </row>
    <row r="18" spans="1:25" ht="16.2" thickBot="1">
      <c r="A18" s="239" t="s">
        <v>1058</v>
      </c>
      <c r="B18" s="240" t="s">
        <v>1059</v>
      </c>
      <c r="C18" s="145"/>
      <c r="D18" s="146" t="s">
        <v>597</v>
      </c>
      <c r="E18" s="148" t="s">
        <v>598</v>
      </c>
      <c r="F18" s="146" t="s">
        <v>597</v>
      </c>
      <c r="G18" s="148" t="s">
        <v>598</v>
      </c>
      <c r="H18" s="146" t="s">
        <v>597</v>
      </c>
      <c r="I18" s="148" t="s">
        <v>598</v>
      </c>
      <c r="J18" s="146" t="s">
        <v>597</v>
      </c>
      <c r="K18" s="148" t="s">
        <v>599</v>
      </c>
      <c r="L18" s="146" t="s">
        <v>597</v>
      </c>
      <c r="M18" s="148" t="s">
        <v>599</v>
      </c>
      <c r="N18" s="146" t="s">
        <v>570</v>
      </c>
      <c r="O18" s="148" t="s">
        <v>571</v>
      </c>
      <c r="P18" s="146" t="s">
        <v>579</v>
      </c>
      <c r="Q18" s="148" t="s">
        <v>580</v>
      </c>
      <c r="R18" s="146" t="s">
        <v>602</v>
      </c>
      <c r="S18" s="148" t="s">
        <v>603</v>
      </c>
      <c r="T18" s="146" t="s">
        <v>612</v>
      </c>
      <c r="U18" s="148" t="s">
        <v>613</v>
      </c>
      <c r="V18" s="274" t="s">
        <v>605</v>
      </c>
      <c r="W18" s="275" t="s">
        <v>1233</v>
      </c>
      <c r="X18" s="146" t="s">
        <v>614</v>
      </c>
      <c r="Y18" s="148" t="s">
        <v>615</v>
      </c>
    </row>
    <row r="19" spans="1:25">
      <c r="C19" s="145"/>
      <c r="D19" s="146" t="s">
        <v>557</v>
      </c>
      <c r="E19" s="148" t="s">
        <v>558</v>
      </c>
      <c r="F19" s="146" t="s">
        <v>557</v>
      </c>
      <c r="G19" s="148" t="s">
        <v>558</v>
      </c>
      <c r="H19" s="146" t="s">
        <v>557</v>
      </c>
      <c r="I19" s="148" t="s">
        <v>558</v>
      </c>
      <c r="J19" s="146" t="s">
        <v>557</v>
      </c>
      <c r="K19" s="148" t="s">
        <v>558</v>
      </c>
      <c r="L19" s="146" t="s">
        <v>557</v>
      </c>
      <c r="M19" s="148" t="s">
        <v>558</v>
      </c>
      <c r="N19" s="146" t="s">
        <v>575</v>
      </c>
      <c r="O19" s="148" t="s">
        <v>576</v>
      </c>
      <c r="P19" s="146" t="s">
        <v>585</v>
      </c>
      <c r="Q19" s="148" t="s">
        <v>586</v>
      </c>
      <c r="R19" s="146" t="s">
        <v>587</v>
      </c>
      <c r="S19" s="152" t="s">
        <v>588</v>
      </c>
      <c r="T19" s="146" t="s">
        <v>595</v>
      </c>
      <c r="U19" s="148" t="s">
        <v>596</v>
      </c>
      <c r="V19" s="146" t="s">
        <v>608</v>
      </c>
      <c r="W19" s="151" t="s">
        <v>609</v>
      </c>
      <c r="X19" s="146" t="s">
        <v>619</v>
      </c>
      <c r="Y19" s="151" t="s">
        <v>620</v>
      </c>
    </row>
    <row r="20" spans="1:25">
      <c r="C20" s="145"/>
      <c r="D20" s="146" t="s">
        <v>564</v>
      </c>
      <c r="E20" s="148" t="s">
        <v>565</v>
      </c>
      <c r="F20" s="146" t="s">
        <v>564</v>
      </c>
      <c r="G20" s="148" t="s">
        <v>565</v>
      </c>
      <c r="H20" s="146" t="s">
        <v>564</v>
      </c>
      <c r="I20" s="148" t="s">
        <v>565</v>
      </c>
      <c r="J20" s="146" t="s">
        <v>564</v>
      </c>
      <c r="K20" s="148" t="s">
        <v>565</v>
      </c>
      <c r="L20" s="146" t="s">
        <v>564</v>
      </c>
      <c r="M20" s="148" t="s">
        <v>565</v>
      </c>
      <c r="N20" s="146" t="s">
        <v>606</v>
      </c>
      <c r="O20" s="148" t="s">
        <v>607</v>
      </c>
      <c r="P20" s="146" t="s">
        <v>602</v>
      </c>
      <c r="Q20" s="148" t="s">
        <v>603</v>
      </c>
      <c r="R20" s="146" t="s">
        <v>591</v>
      </c>
      <c r="S20" s="152" t="s">
        <v>592</v>
      </c>
      <c r="T20" s="146" t="s">
        <v>600</v>
      </c>
      <c r="U20" s="148" t="s">
        <v>601</v>
      </c>
      <c r="V20" s="146" t="s">
        <v>614</v>
      </c>
      <c r="W20" s="151" t="s">
        <v>615</v>
      </c>
      <c r="X20" s="146" t="s">
        <v>1060</v>
      </c>
      <c r="Y20" s="151" t="s">
        <v>623</v>
      </c>
    </row>
    <row r="21" spans="1:25">
      <c r="C21" s="145"/>
      <c r="D21" s="146" t="s">
        <v>577</v>
      </c>
      <c r="E21" s="148" t="s">
        <v>578</v>
      </c>
      <c r="F21" s="146" t="s">
        <v>577</v>
      </c>
      <c r="G21" s="148" t="s">
        <v>578</v>
      </c>
      <c r="H21" s="146" t="s">
        <v>577</v>
      </c>
      <c r="I21" s="148" t="s">
        <v>578</v>
      </c>
      <c r="J21" s="146" t="s">
        <v>577</v>
      </c>
      <c r="K21" s="148" t="s">
        <v>578</v>
      </c>
      <c r="L21" s="146" t="s">
        <v>577</v>
      </c>
      <c r="M21" s="148" t="s">
        <v>578</v>
      </c>
      <c r="N21" s="146" t="s">
        <v>579</v>
      </c>
      <c r="O21" s="148" t="s">
        <v>580</v>
      </c>
      <c r="P21" s="146" t="s">
        <v>587</v>
      </c>
      <c r="Q21" s="148" t="s">
        <v>588</v>
      </c>
      <c r="R21" s="146" t="s">
        <v>612</v>
      </c>
      <c r="S21" s="152" t="s">
        <v>613</v>
      </c>
      <c r="T21" s="146" t="s">
        <v>625</v>
      </c>
      <c r="U21" s="148" t="s">
        <v>626</v>
      </c>
      <c r="V21" s="146" t="s">
        <v>619</v>
      </c>
      <c r="W21" s="151" t="s">
        <v>620</v>
      </c>
      <c r="X21" s="146" t="s">
        <v>627</v>
      </c>
      <c r="Y21" s="151" t="s">
        <v>628</v>
      </c>
    </row>
    <row r="22" spans="1:25">
      <c r="C22" s="145"/>
      <c r="D22" s="146" t="s">
        <v>1061</v>
      </c>
      <c r="E22" s="148" t="s">
        <v>551</v>
      </c>
      <c r="F22" s="146" t="s">
        <v>1061</v>
      </c>
      <c r="G22" s="148" t="s">
        <v>551</v>
      </c>
      <c r="H22" s="146" t="s">
        <v>1015</v>
      </c>
      <c r="I22" s="148" t="s">
        <v>551</v>
      </c>
      <c r="J22" s="146" t="s">
        <v>610</v>
      </c>
      <c r="K22" s="148" t="s">
        <v>611</v>
      </c>
      <c r="L22" s="146" t="s">
        <v>610</v>
      </c>
      <c r="M22" s="148" t="s">
        <v>611</v>
      </c>
      <c r="N22" s="146" t="s">
        <v>585</v>
      </c>
      <c r="O22" s="148" t="s">
        <v>586</v>
      </c>
      <c r="P22" s="146" t="s">
        <v>591</v>
      </c>
      <c r="Q22" s="148" t="s">
        <v>592</v>
      </c>
      <c r="R22" s="146" t="s">
        <v>595</v>
      </c>
      <c r="S22" s="152" t="s">
        <v>596</v>
      </c>
      <c r="T22" s="274" t="s">
        <v>604</v>
      </c>
      <c r="U22" s="275" t="s">
        <v>1232</v>
      </c>
      <c r="V22" s="146" t="s">
        <v>622</v>
      </c>
      <c r="W22" s="151" t="s">
        <v>623</v>
      </c>
      <c r="X22" s="146" t="s">
        <v>630</v>
      </c>
      <c r="Y22" s="151" t="s">
        <v>631</v>
      </c>
    </row>
    <row r="23" spans="1:25">
      <c r="C23" s="145"/>
      <c r="D23" s="146" t="s">
        <v>1016</v>
      </c>
      <c r="E23" s="148" t="s">
        <v>1017</v>
      </c>
      <c r="F23" s="146" t="s">
        <v>1016</v>
      </c>
      <c r="G23" s="148" t="s">
        <v>1017</v>
      </c>
      <c r="H23" s="146" t="s">
        <v>1016</v>
      </c>
      <c r="I23" s="148" t="s">
        <v>1017</v>
      </c>
      <c r="J23" s="146" t="s">
        <v>618</v>
      </c>
      <c r="K23" s="148" t="s">
        <v>712</v>
      </c>
      <c r="L23" s="146" t="s">
        <v>618</v>
      </c>
      <c r="M23" s="148" t="s">
        <v>712</v>
      </c>
      <c r="N23" s="146" t="s">
        <v>602</v>
      </c>
      <c r="O23" s="148" t="s">
        <v>603</v>
      </c>
      <c r="P23" s="146" t="s">
        <v>612</v>
      </c>
      <c r="Q23" s="148" t="s">
        <v>613</v>
      </c>
      <c r="R23" s="146" t="s">
        <v>600</v>
      </c>
      <c r="S23" s="152" t="s">
        <v>601</v>
      </c>
      <c r="T23" s="274" t="s">
        <v>605</v>
      </c>
      <c r="U23" s="275" t="s">
        <v>1233</v>
      </c>
      <c r="V23" s="146" t="s">
        <v>627</v>
      </c>
      <c r="W23" s="151" t="s">
        <v>628</v>
      </c>
      <c r="X23" s="146" t="s">
        <v>633</v>
      </c>
      <c r="Y23" s="148" t="s">
        <v>634</v>
      </c>
    </row>
    <row r="24" spans="1:25">
      <c r="C24" s="145"/>
      <c r="D24" s="146" t="s">
        <v>616</v>
      </c>
      <c r="E24" s="148" t="s">
        <v>617</v>
      </c>
      <c r="F24" s="146" t="s">
        <v>616</v>
      </c>
      <c r="G24" s="148" t="s">
        <v>617</v>
      </c>
      <c r="H24" s="146" t="s">
        <v>616</v>
      </c>
      <c r="I24" s="148" t="s">
        <v>617</v>
      </c>
      <c r="J24" s="146" t="s">
        <v>589</v>
      </c>
      <c r="K24" s="148" t="s">
        <v>590</v>
      </c>
      <c r="L24" s="146" t="s">
        <v>589</v>
      </c>
      <c r="M24" s="148" t="s">
        <v>590</v>
      </c>
      <c r="N24" s="146" t="s">
        <v>587</v>
      </c>
      <c r="O24" s="148" t="s">
        <v>588</v>
      </c>
      <c r="P24" s="146" t="s">
        <v>595</v>
      </c>
      <c r="Q24" s="148" t="s">
        <v>596</v>
      </c>
      <c r="R24" s="146" t="s">
        <v>625</v>
      </c>
      <c r="S24" s="152" t="s">
        <v>626</v>
      </c>
      <c r="T24" s="274" t="s">
        <v>636</v>
      </c>
      <c r="U24" s="275" t="s">
        <v>1234</v>
      </c>
      <c r="V24" s="146" t="s">
        <v>630</v>
      </c>
      <c r="W24" s="151" t="s">
        <v>631</v>
      </c>
      <c r="X24" s="146" t="s">
        <v>637</v>
      </c>
      <c r="Y24" s="148" t="s">
        <v>638</v>
      </c>
    </row>
    <row r="25" spans="1:25">
      <c r="C25" s="145"/>
      <c r="D25" s="146" t="s">
        <v>610</v>
      </c>
      <c r="E25" s="148" t="s">
        <v>621</v>
      </c>
      <c r="F25" s="146" t="s">
        <v>610</v>
      </c>
      <c r="G25" s="148" t="s">
        <v>621</v>
      </c>
      <c r="H25" s="146" t="s">
        <v>610</v>
      </c>
      <c r="I25" s="148" t="s">
        <v>621</v>
      </c>
      <c r="J25" s="146" t="s">
        <v>583</v>
      </c>
      <c r="K25" s="148" t="s">
        <v>584</v>
      </c>
      <c r="L25" s="146" t="s">
        <v>583</v>
      </c>
      <c r="M25" s="148" t="s">
        <v>584</v>
      </c>
      <c r="N25" s="146" t="s">
        <v>591</v>
      </c>
      <c r="O25" s="148" t="s">
        <v>592</v>
      </c>
      <c r="P25" s="146" t="s">
        <v>600</v>
      </c>
      <c r="Q25" s="148" t="s">
        <v>601</v>
      </c>
      <c r="R25" s="274" t="s">
        <v>604</v>
      </c>
      <c r="S25" s="275" t="s">
        <v>1232</v>
      </c>
      <c r="T25" s="146" t="s">
        <v>608</v>
      </c>
      <c r="U25" s="148" t="s">
        <v>609</v>
      </c>
      <c r="V25" s="146" t="s">
        <v>633</v>
      </c>
      <c r="W25" s="148" t="s">
        <v>634</v>
      </c>
      <c r="X25" s="146" t="s">
        <v>713</v>
      </c>
      <c r="Y25" s="148" t="s">
        <v>714</v>
      </c>
    </row>
    <row r="26" spans="1:25" ht="16.2" thickBot="1">
      <c r="C26" s="145"/>
      <c r="D26" s="146" t="s">
        <v>618</v>
      </c>
      <c r="E26" s="148" t="s">
        <v>624</v>
      </c>
      <c r="F26" s="146" t="s">
        <v>618</v>
      </c>
      <c r="G26" s="148" t="s">
        <v>624</v>
      </c>
      <c r="H26" s="146" t="s">
        <v>618</v>
      </c>
      <c r="I26" s="148" t="s">
        <v>624</v>
      </c>
      <c r="J26" s="146" t="s">
        <v>570</v>
      </c>
      <c r="K26" s="148" t="s">
        <v>571</v>
      </c>
      <c r="L26" s="146" t="s">
        <v>570</v>
      </c>
      <c r="M26" s="148" t="s">
        <v>571</v>
      </c>
      <c r="N26" s="146" t="s">
        <v>612</v>
      </c>
      <c r="O26" s="148" t="s">
        <v>613</v>
      </c>
      <c r="P26" s="146" t="s">
        <v>625</v>
      </c>
      <c r="Q26" s="148" t="s">
        <v>626</v>
      </c>
      <c r="R26" s="274" t="s">
        <v>605</v>
      </c>
      <c r="S26" s="275" t="s">
        <v>1233</v>
      </c>
      <c r="T26" s="146" t="s">
        <v>614</v>
      </c>
      <c r="U26" s="148" t="s">
        <v>615</v>
      </c>
      <c r="V26" s="146" t="s">
        <v>637</v>
      </c>
      <c r="W26" s="148" t="s">
        <v>638</v>
      </c>
      <c r="X26" s="153" t="s">
        <v>715</v>
      </c>
      <c r="Y26" s="154" t="s">
        <v>716</v>
      </c>
    </row>
    <row r="27" spans="1:25">
      <c r="C27" s="145"/>
      <c r="D27" s="146" t="s">
        <v>589</v>
      </c>
      <c r="E27" s="148" t="s">
        <v>629</v>
      </c>
      <c r="F27" s="146" t="s">
        <v>589</v>
      </c>
      <c r="G27" s="148" t="s">
        <v>629</v>
      </c>
      <c r="H27" s="146" t="s">
        <v>589</v>
      </c>
      <c r="I27" s="148" t="s">
        <v>629</v>
      </c>
      <c r="J27" s="146" t="s">
        <v>575</v>
      </c>
      <c r="K27" s="148" t="s">
        <v>576</v>
      </c>
      <c r="L27" s="146" t="s">
        <v>575</v>
      </c>
      <c r="M27" s="148" t="s">
        <v>576</v>
      </c>
      <c r="N27" s="146" t="s">
        <v>595</v>
      </c>
      <c r="O27" s="148" t="s">
        <v>596</v>
      </c>
      <c r="P27" s="274" t="s">
        <v>604</v>
      </c>
      <c r="Q27" s="275" t="s">
        <v>1232</v>
      </c>
      <c r="R27" s="274" t="s">
        <v>636</v>
      </c>
      <c r="S27" s="275" t="s">
        <v>1234</v>
      </c>
      <c r="T27" s="146" t="s">
        <v>641</v>
      </c>
      <c r="U27" s="148" t="s">
        <v>642</v>
      </c>
      <c r="V27" s="146" t="s">
        <v>713</v>
      </c>
      <c r="W27" s="148" t="s">
        <v>714</v>
      </c>
    </row>
    <row r="28" spans="1:25" ht="16.2" thickBot="1">
      <c r="C28" s="145"/>
      <c r="D28" s="146" t="s">
        <v>583</v>
      </c>
      <c r="E28" s="148" t="s">
        <v>632</v>
      </c>
      <c r="F28" s="146" t="s">
        <v>583</v>
      </c>
      <c r="G28" s="148" t="s">
        <v>632</v>
      </c>
      <c r="H28" s="146" t="s">
        <v>583</v>
      </c>
      <c r="I28" s="148" t="s">
        <v>632</v>
      </c>
      <c r="J28" s="146" t="s">
        <v>606</v>
      </c>
      <c r="K28" s="148" t="s">
        <v>1062</v>
      </c>
      <c r="L28" s="146" t="s">
        <v>606</v>
      </c>
      <c r="M28" s="148" t="s">
        <v>607</v>
      </c>
      <c r="N28" s="146" t="s">
        <v>600</v>
      </c>
      <c r="O28" s="148" t="s">
        <v>601</v>
      </c>
      <c r="P28" s="274" t="s">
        <v>605</v>
      </c>
      <c r="Q28" s="275" t="s">
        <v>1233</v>
      </c>
      <c r="R28" s="146" t="s">
        <v>608</v>
      </c>
      <c r="S28" s="152" t="s">
        <v>609</v>
      </c>
      <c r="T28" s="146" t="s">
        <v>644</v>
      </c>
      <c r="U28" s="148" t="s">
        <v>620</v>
      </c>
      <c r="V28" s="153" t="s">
        <v>715</v>
      </c>
      <c r="W28" s="154" t="s">
        <v>716</v>
      </c>
    </row>
    <row r="29" spans="1:25">
      <c r="C29" s="145"/>
      <c r="D29" s="146" t="s">
        <v>570</v>
      </c>
      <c r="E29" s="148" t="s">
        <v>635</v>
      </c>
      <c r="F29" s="146" t="s">
        <v>570</v>
      </c>
      <c r="G29" s="148" t="s">
        <v>635</v>
      </c>
      <c r="H29" s="146" t="s">
        <v>570</v>
      </c>
      <c r="I29" s="148" t="s">
        <v>635</v>
      </c>
      <c r="J29" s="146" t="s">
        <v>579</v>
      </c>
      <c r="K29" s="148" t="s">
        <v>580</v>
      </c>
      <c r="L29" s="146" t="s">
        <v>579</v>
      </c>
      <c r="M29" s="148" t="s">
        <v>580</v>
      </c>
      <c r="N29" s="146" t="s">
        <v>625</v>
      </c>
      <c r="O29" s="148" t="s">
        <v>626</v>
      </c>
      <c r="P29" s="274" t="s">
        <v>636</v>
      </c>
      <c r="Q29" s="275" t="s">
        <v>1234</v>
      </c>
      <c r="R29" s="146" t="s">
        <v>614</v>
      </c>
      <c r="S29" s="152" t="s">
        <v>615</v>
      </c>
      <c r="T29" s="146" t="s">
        <v>646</v>
      </c>
      <c r="U29" s="148" t="s">
        <v>623</v>
      </c>
    </row>
    <row r="30" spans="1:25">
      <c r="C30" s="145"/>
      <c r="D30" s="146" t="s">
        <v>575</v>
      </c>
      <c r="E30" s="148" t="s">
        <v>639</v>
      </c>
      <c r="F30" s="146" t="s">
        <v>575</v>
      </c>
      <c r="G30" s="148" t="s">
        <v>639</v>
      </c>
      <c r="H30" s="146" t="s">
        <v>575</v>
      </c>
      <c r="I30" s="148" t="s">
        <v>639</v>
      </c>
      <c r="J30" s="146" t="s">
        <v>585</v>
      </c>
      <c r="K30" s="148" t="s">
        <v>586</v>
      </c>
      <c r="L30" s="146" t="s">
        <v>585</v>
      </c>
      <c r="M30" s="148" t="s">
        <v>586</v>
      </c>
      <c r="N30" s="274" t="s">
        <v>604</v>
      </c>
      <c r="O30" s="275" t="s">
        <v>1232</v>
      </c>
      <c r="P30" s="146" t="s">
        <v>608</v>
      </c>
      <c r="Q30" s="148" t="s">
        <v>609</v>
      </c>
      <c r="R30" s="146" t="s">
        <v>641</v>
      </c>
      <c r="S30" s="152" t="s">
        <v>642</v>
      </c>
      <c r="T30" s="146" t="s">
        <v>648</v>
      </c>
      <c r="U30" s="148" t="s">
        <v>649</v>
      </c>
    </row>
    <row r="31" spans="1:25">
      <c r="C31" s="145"/>
      <c r="D31" s="146" t="s">
        <v>606</v>
      </c>
      <c r="E31" s="148" t="s">
        <v>607</v>
      </c>
      <c r="F31" s="146" t="s">
        <v>606</v>
      </c>
      <c r="G31" s="148" t="s">
        <v>607</v>
      </c>
      <c r="H31" s="146" t="s">
        <v>606</v>
      </c>
      <c r="I31" s="148" t="s">
        <v>607</v>
      </c>
      <c r="J31" s="146" t="s">
        <v>602</v>
      </c>
      <c r="K31" s="148" t="s">
        <v>603</v>
      </c>
      <c r="L31" s="146" t="s">
        <v>602</v>
      </c>
      <c r="M31" s="148" t="s">
        <v>603</v>
      </c>
      <c r="N31" s="274" t="s">
        <v>605</v>
      </c>
      <c r="O31" s="275" t="s">
        <v>1233</v>
      </c>
      <c r="P31" s="146" t="s">
        <v>614</v>
      </c>
      <c r="Q31" s="148" t="s">
        <v>615</v>
      </c>
      <c r="R31" s="146" t="s">
        <v>644</v>
      </c>
      <c r="S31" s="148" t="s">
        <v>620</v>
      </c>
      <c r="T31" s="146" t="s">
        <v>627</v>
      </c>
      <c r="U31" s="148" t="s">
        <v>628</v>
      </c>
    </row>
    <row r="32" spans="1:25">
      <c r="C32" s="145"/>
      <c r="D32" s="146" t="s">
        <v>579</v>
      </c>
      <c r="E32" s="148" t="s">
        <v>640</v>
      </c>
      <c r="F32" s="146" t="s">
        <v>579</v>
      </c>
      <c r="G32" s="148" t="s">
        <v>640</v>
      </c>
      <c r="H32" s="146" t="s">
        <v>579</v>
      </c>
      <c r="I32" s="148" t="s">
        <v>640</v>
      </c>
      <c r="J32" s="146" t="s">
        <v>587</v>
      </c>
      <c r="K32" s="148" t="s">
        <v>588</v>
      </c>
      <c r="L32" s="146" t="s">
        <v>587</v>
      </c>
      <c r="M32" s="148" t="s">
        <v>588</v>
      </c>
      <c r="N32" s="274" t="s">
        <v>636</v>
      </c>
      <c r="O32" s="275" t="s">
        <v>1234</v>
      </c>
      <c r="P32" s="146" t="s">
        <v>641</v>
      </c>
      <c r="Q32" s="148" t="s">
        <v>642</v>
      </c>
      <c r="R32" s="146" t="s">
        <v>646</v>
      </c>
      <c r="S32" s="148" t="s">
        <v>623</v>
      </c>
      <c r="T32" s="146" t="s">
        <v>630</v>
      </c>
      <c r="U32" s="148" t="s">
        <v>631</v>
      </c>
    </row>
    <row r="33" spans="3:21">
      <c r="C33" s="145"/>
      <c r="D33" s="146" t="s">
        <v>585</v>
      </c>
      <c r="E33" s="148" t="s">
        <v>643</v>
      </c>
      <c r="F33" s="146" t="s">
        <v>585</v>
      </c>
      <c r="G33" s="148" t="s">
        <v>643</v>
      </c>
      <c r="H33" s="146" t="s">
        <v>585</v>
      </c>
      <c r="I33" s="148" t="s">
        <v>643</v>
      </c>
      <c r="J33" s="146" t="s">
        <v>591</v>
      </c>
      <c r="K33" s="148" t="s">
        <v>592</v>
      </c>
      <c r="L33" s="146" t="s">
        <v>591</v>
      </c>
      <c r="M33" s="148" t="s">
        <v>592</v>
      </c>
      <c r="N33" s="146" t="s">
        <v>608</v>
      </c>
      <c r="O33" s="148" t="s">
        <v>609</v>
      </c>
      <c r="P33" s="146" t="s">
        <v>644</v>
      </c>
      <c r="Q33" s="148" t="s">
        <v>620</v>
      </c>
      <c r="R33" s="146" t="s">
        <v>648</v>
      </c>
      <c r="S33" s="148" t="s">
        <v>649</v>
      </c>
      <c r="T33" s="146" t="s">
        <v>652</v>
      </c>
      <c r="U33" s="148" t="s">
        <v>653</v>
      </c>
    </row>
    <row r="34" spans="3:21">
      <c r="C34" s="145"/>
      <c r="D34" s="146" t="s">
        <v>602</v>
      </c>
      <c r="E34" s="148" t="s">
        <v>645</v>
      </c>
      <c r="F34" s="146" t="s">
        <v>602</v>
      </c>
      <c r="G34" s="148" t="s">
        <v>645</v>
      </c>
      <c r="H34" s="146" t="s">
        <v>602</v>
      </c>
      <c r="I34" s="148" t="s">
        <v>645</v>
      </c>
      <c r="J34" s="146" t="s">
        <v>612</v>
      </c>
      <c r="K34" s="148" t="s">
        <v>613</v>
      </c>
      <c r="L34" s="146" t="s">
        <v>612</v>
      </c>
      <c r="M34" s="148" t="s">
        <v>613</v>
      </c>
      <c r="N34" s="146" t="s">
        <v>614</v>
      </c>
      <c r="O34" s="148" t="s">
        <v>615</v>
      </c>
      <c r="P34" s="146" t="s">
        <v>646</v>
      </c>
      <c r="Q34" s="148" t="s">
        <v>623</v>
      </c>
      <c r="R34" s="146" t="s">
        <v>627</v>
      </c>
      <c r="S34" s="148" t="s">
        <v>628</v>
      </c>
      <c r="T34" s="146" t="s">
        <v>633</v>
      </c>
      <c r="U34" s="148" t="s">
        <v>634</v>
      </c>
    </row>
    <row r="35" spans="3:21">
      <c r="C35" s="145"/>
      <c r="D35" s="146" t="s">
        <v>587</v>
      </c>
      <c r="E35" s="148" t="s">
        <v>647</v>
      </c>
      <c r="F35" s="146" t="s">
        <v>587</v>
      </c>
      <c r="G35" s="148" t="s">
        <v>647</v>
      </c>
      <c r="H35" s="146" t="s">
        <v>587</v>
      </c>
      <c r="I35" s="148" t="s">
        <v>647</v>
      </c>
      <c r="J35" s="146" t="s">
        <v>595</v>
      </c>
      <c r="K35" s="148" t="s">
        <v>596</v>
      </c>
      <c r="L35" s="146" t="s">
        <v>595</v>
      </c>
      <c r="M35" s="152" t="s">
        <v>596</v>
      </c>
      <c r="N35" s="146" t="s">
        <v>641</v>
      </c>
      <c r="O35" s="148" t="s">
        <v>642</v>
      </c>
      <c r="P35" s="146" t="s">
        <v>648</v>
      </c>
      <c r="Q35" s="148" t="s">
        <v>649</v>
      </c>
      <c r="R35" s="146" t="s">
        <v>630</v>
      </c>
      <c r="S35" s="148" t="s">
        <v>631</v>
      </c>
      <c r="T35" s="146" t="s">
        <v>637</v>
      </c>
      <c r="U35" s="148" t="s">
        <v>638</v>
      </c>
    </row>
    <row r="36" spans="3:21">
      <c r="C36" s="145"/>
      <c r="D36" s="146" t="s">
        <v>591</v>
      </c>
      <c r="E36" s="148" t="s">
        <v>650</v>
      </c>
      <c r="F36" s="146" t="s">
        <v>591</v>
      </c>
      <c r="G36" s="148" t="s">
        <v>650</v>
      </c>
      <c r="H36" s="146" t="s">
        <v>591</v>
      </c>
      <c r="I36" s="148" t="s">
        <v>650</v>
      </c>
      <c r="J36" s="146" t="s">
        <v>600</v>
      </c>
      <c r="K36" s="148" t="s">
        <v>601</v>
      </c>
      <c r="L36" s="146" t="s">
        <v>600</v>
      </c>
      <c r="M36" s="152" t="s">
        <v>601</v>
      </c>
      <c r="N36" s="146" t="s">
        <v>644</v>
      </c>
      <c r="O36" s="148" t="s">
        <v>620</v>
      </c>
      <c r="P36" s="146" t="s">
        <v>627</v>
      </c>
      <c r="Q36" s="148" t="s">
        <v>628</v>
      </c>
      <c r="R36" s="146" t="s">
        <v>652</v>
      </c>
      <c r="S36" s="148" t="s">
        <v>653</v>
      </c>
      <c r="T36" s="146" t="s">
        <v>654</v>
      </c>
      <c r="U36" s="148" t="s">
        <v>655</v>
      </c>
    </row>
    <row r="37" spans="3:21">
      <c r="C37" s="145"/>
      <c r="D37" s="146" t="s">
        <v>612</v>
      </c>
      <c r="E37" s="148" t="s">
        <v>651</v>
      </c>
      <c r="F37" s="146" t="s">
        <v>612</v>
      </c>
      <c r="G37" s="148" t="s">
        <v>651</v>
      </c>
      <c r="H37" s="146" t="s">
        <v>612</v>
      </c>
      <c r="I37" s="148" t="s">
        <v>651</v>
      </c>
      <c r="J37" s="146" t="s">
        <v>625</v>
      </c>
      <c r="K37" s="148" t="s">
        <v>626</v>
      </c>
      <c r="L37" s="146" t="s">
        <v>625</v>
      </c>
      <c r="M37" s="152" t="s">
        <v>626</v>
      </c>
      <c r="N37" s="146" t="s">
        <v>646</v>
      </c>
      <c r="O37" s="148" t="s">
        <v>623</v>
      </c>
      <c r="P37" s="146" t="s">
        <v>630</v>
      </c>
      <c r="Q37" s="148" t="s">
        <v>631</v>
      </c>
      <c r="R37" s="146" t="s">
        <v>633</v>
      </c>
      <c r="S37" s="148" t="s">
        <v>634</v>
      </c>
      <c r="T37" s="146" t="s">
        <v>713</v>
      </c>
      <c r="U37" s="148" t="s">
        <v>714</v>
      </c>
    </row>
    <row r="38" spans="3:21">
      <c r="C38" s="145"/>
      <c r="D38" s="146" t="s">
        <v>595</v>
      </c>
      <c r="E38" s="148" t="s">
        <v>596</v>
      </c>
      <c r="F38" s="146" t="s">
        <v>595</v>
      </c>
      <c r="G38" s="148" t="s">
        <v>596</v>
      </c>
      <c r="H38" s="146" t="s">
        <v>595</v>
      </c>
      <c r="I38" s="148" t="s">
        <v>596</v>
      </c>
      <c r="J38" s="274" t="s">
        <v>604</v>
      </c>
      <c r="K38" s="275" t="s">
        <v>1232</v>
      </c>
      <c r="L38" s="274" t="s">
        <v>604</v>
      </c>
      <c r="M38" s="275" t="s">
        <v>1232</v>
      </c>
      <c r="N38" s="146" t="s">
        <v>648</v>
      </c>
      <c r="O38" s="148" t="s">
        <v>649</v>
      </c>
      <c r="P38" s="146" t="s">
        <v>652</v>
      </c>
      <c r="Q38" s="148" t="s">
        <v>653</v>
      </c>
      <c r="R38" s="146" t="s">
        <v>637</v>
      </c>
      <c r="S38" s="148" t="s">
        <v>638</v>
      </c>
      <c r="T38" s="146" t="s">
        <v>715</v>
      </c>
      <c r="U38" s="148" t="s">
        <v>716</v>
      </c>
    </row>
    <row r="39" spans="3:21">
      <c r="C39" s="145"/>
      <c r="D39" s="146" t="s">
        <v>600</v>
      </c>
      <c r="E39" s="148" t="s">
        <v>601</v>
      </c>
      <c r="F39" s="146" t="s">
        <v>600</v>
      </c>
      <c r="G39" s="148" t="s">
        <v>601</v>
      </c>
      <c r="H39" s="146" t="s">
        <v>600</v>
      </c>
      <c r="I39" s="148" t="s">
        <v>601</v>
      </c>
      <c r="J39" s="274" t="s">
        <v>605</v>
      </c>
      <c r="K39" s="275" t="s">
        <v>1233</v>
      </c>
      <c r="L39" s="274" t="s">
        <v>605</v>
      </c>
      <c r="M39" s="275" t="s">
        <v>1233</v>
      </c>
      <c r="N39" s="146" t="s">
        <v>627</v>
      </c>
      <c r="O39" s="148" t="s">
        <v>628</v>
      </c>
      <c r="P39" s="146" t="s">
        <v>633</v>
      </c>
      <c r="Q39" s="148" t="s">
        <v>634</v>
      </c>
      <c r="R39" s="146" t="s">
        <v>654</v>
      </c>
      <c r="S39" s="148" t="s">
        <v>655</v>
      </c>
      <c r="T39" s="146" t="s">
        <v>717</v>
      </c>
      <c r="U39" s="148" t="s">
        <v>718</v>
      </c>
    </row>
    <row r="40" spans="3:21">
      <c r="C40" s="145"/>
      <c r="D40" s="146" t="s">
        <v>625</v>
      </c>
      <c r="E40" s="148" t="s">
        <v>626</v>
      </c>
      <c r="F40" s="146" t="s">
        <v>625</v>
      </c>
      <c r="G40" s="148" t="s">
        <v>626</v>
      </c>
      <c r="H40" s="146" t="s">
        <v>625</v>
      </c>
      <c r="I40" s="148" t="s">
        <v>626</v>
      </c>
      <c r="J40" s="274" t="s">
        <v>636</v>
      </c>
      <c r="K40" s="275" t="s">
        <v>1234</v>
      </c>
      <c r="L40" s="274" t="s">
        <v>636</v>
      </c>
      <c r="M40" s="275" t="s">
        <v>1234</v>
      </c>
      <c r="N40" s="146" t="s">
        <v>630</v>
      </c>
      <c r="O40" s="148" t="s">
        <v>631</v>
      </c>
      <c r="P40" s="146" t="s">
        <v>637</v>
      </c>
      <c r="Q40" s="148" t="s">
        <v>638</v>
      </c>
      <c r="R40" s="146" t="s">
        <v>713</v>
      </c>
      <c r="S40" s="148" t="s">
        <v>714</v>
      </c>
      <c r="T40" s="241" t="s">
        <v>1063</v>
      </c>
      <c r="U40" s="242" t="s">
        <v>1064</v>
      </c>
    </row>
    <row r="41" spans="3:21" ht="16.2" thickBot="1">
      <c r="C41" s="145"/>
      <c r="D41" s="274" t="s">
        <v>604</v>
      </c>
      <c r="E41" s="275" t="s">
        <v>1232</v>
      </c>
      <c r="F41" s="276" t="s">
        <v>604</v>
      </c>
      <c r="G41" s="277" t="s">
        <v>1232</v>
      </c>
      <c r="H41" s="276" t="s">
        <v>604</v>
      </c>
      <c r="I41" s="277" t="s">
        <v>1232</v>
      </c>
      <c r="J41" s="146" t="s">
        <v>608</v>
      </c>
      <c r="K41" s="148" t="s">
        <v>609</v>
      </c>
      <c r="L41" s="146" t="s">
        <v>608</v>
      </c>
      <c r="M41" s="152" t="s">
        <v>609</v>
      </c>
      <c r="N41" s="146" t="s">
        <v>652</v>
      </c>
      <c r="O41" s="148" t="s">
        <v>653</v>
      </c>
      <c r="P41" s="146" t="s">
        <v>654</v>
      </c>
      <c r="Q41" s="148" t="s">
        <v>655</v>
      </c>
      <c r="R41" s="146" t="s">
        <v>715</v>
      </c>
      <c r="S41" s="148" t="s">
        <v>716</v>
      </c>
      <c r="T41" s="243" t="s">
        <v>1065</v>
      </c>
      <c r="U41" s="244" t="s">
        <v>1066</v>
      </c>
    </row>
    <row r="42" spans="3:21">
      <c r="C42" s="145"/>
      <c r="D42" s="274" t="s">
        <v>605</v>
      </c>
      <c r="E42" s="275" t="s">
        <v>1233</v>
      </c>
      <c r="F42" s="276" t="s">
        <v>605</v>
      </c>
      <c r="G42" s="277" t="s">
        <v>1233</v>
      </c>
      <c r="H42" s="276" t="s">
        <v>605</v>
      </c>
      <c r="I42" s="277" t="s">
        <v>1233</v>
      </c>
      <c r="J42" s="146" t="s">
        <v>614</v>
      </c>
      <c r="K42" s="148" t="s">
        <v>615</v>
      </c>
      <c r="L42" s="146" t="s">
        <v>614</v>
      </c>
      <c r="M42" s="152" t="s">
        <v>615</v>
      </c>
      <c r="N42" s="146" t="s">
        <v>633</v>
      </c>
      <c r="O42" s="148" t="s">
        <v>634</v>
      </c>
      <c r="P42" s="146" t="s">
        <v>713</v>
      </c>
      <c r="Q42" s="148" t="s">
        <v>714</v>
      </c>
      <c r="R42" s="146" t="s">
        <v>717</v>
      </c>
      <c r="S42" s="148" t="s">
        <v>718</v>
      </c>
    </row>
    <row r="43" spans="3:21">
      <c r="C43" s="145"/>
      <c r="D43" s="274" t="s">
        <v>636</v>
      </c>
      <c r="E43" s="275" t="s">
        <v>1234</v>
      </c>
      <c r="F43" s="276" t="s">
        <v>636</v>
      </c>
      <c r="G43" s="277" t="s">
        <v>1234</v>
      </c>
      <c r="H43" s="276" t="s">
        <v>636</v>
      </c>
      <c r="I43" s="277" t="s">
        <v>1234</v>
      </c>
      <c r="J43" s="146" t="s">
        <v>641</v>
      </c>
      <c r="K43" s="148" t="s">
        <v>642</v>
      </c>
      <c r="L43" s="146" t="s">
        <v>641</v>
      </c>
      <c r="M43" s="152" t="s">
        <v>642</v>
      </c>
      <c r="N43" s="146" t="s">
        <v>637</v>
      </c>
      <c r="O43" s="148" t="s">
        <v>638</v>
      </c>
      <c r="P43" s="146" t="s">
        <v>715</v>
      </c>
      <c r="Q43" s="148" t="s">
        <v>716</v>
      </c>
      <c r="R43" s="245" t="s">
        <v>1063</v>
      </c>
      <c r="S43" s="246" t="s">
        <v>1064</v>
      </c>
    </row>
    <row r="44" spans="3:21" ht="16.2" thickBot="1">
      <c r="C44" s="145"/>
      <c r="D44" s="146" t="s">
        <v>608</v>
      </c>
      <c r="E44" s="148" t="s">
        <v>609</v>
      </c>
      <c r="F44" s="146" t="s">
        <v>608</v>
      </c>
      <c r="G44" s="148" t="s">
        <v>609</v>
      </c>
      <c r="H44" s="146" t="s">
        <v>608</v>
      </c>
      <c r="I44" s="148" t="s">
        <v>609</v>
      </c>
      <c r="J44" s="146" t="s">
        <v>644</v>
      </c>
      <c r="K44" s="148" t="s">
        <v>620</v>
      </c>
      <c r="L44" s="146" t="s">
        <v>644</v>
      </c>
      <c r="M44" s="148" t="s">
        <v>620</v>
      </c>
      <c r="N44" s="146" t="s">
        <v>654</v>
      </c>
      <c r="O44" s="148" t="s">
        <v>655</v>
      </c>
      <c r="P44" s="146" t="s">
        <v>717</v>
      </c>
      <c r="Q44" s="148" t="s">
        <v>718</v>
      </c>
      <c r="R44" s="247" t="s">
        <v>1065</v>
      </c>
      <c r="S44" s="248" t="s">
        <v>1066</v>
      </c>
    </row>
    <row r="45" spans="3:21">
      <c r="C45" s="145"/>
      <c r="D45" s="146" t="s">
        <v>614</v>
      </c>
      <c r="E45" s="148" t="s">
        <v>615</v>
      </c>
      <c r="F45" s="146" t="s">
        <v>614</v>
      </c>
      <c r="G45" s="148" t="s">
        <v>615</v>
      </c>
      <c r="H45" s="146" t="s">
        <v>614</v>
      </c>
      <c r="I45" s="148" t="s">
        <v>615</v>
      </c>
      <c r="J45" s="146" t="s">
        <v>646</v>
      </c>
      <c r="K45" s="148" t="s">
        <v>623</v>
      </c>
      <c r="L45" s="146" t="s">
        <v>646</v>
      </c>
      <c r="M45" s="148" t="s">
        <v>623</v>
      </c>
      <c r="N45" s="146" t="s">
        <v>713</v>
      </c>
      <c r="O45" s="148" t="s">
        <v>714</v>
      </c>
      <c r="P45" s="237" t="s">
        <v>1067</v>
      </c>
      <c r="Q45" s="238" t="s">
        <v>1068</v>
      </c>
    </row>
    <row r="46" spans="3:21">
      <c r="C46" s="145"/>
      <c r="D46" s="146" t="s">
        <v>641</v>
      </c>
      <c r="E46" s="148" t="s">
        <v>642</v>
      </c>
      <c r="F46" s="146" t="s">
        <v>641</v>
      </c>
      <c r="G46" s="148" t="s">
        <v>642</v>
      </c>
      <c r="H46" s="146" t="s">
        <v>641</v>
      </c>
      <c r="I46" s="148" t="s">
        <v>642</v>
      </c>
      <c r="J46" s="146" t="s">
        <v>648</v>
      </c>
      <c r="K46" s="148" t="s">
        <v>649</v>
      </c>
      <c r="L46" s="146" t="s">
        <v>648</v>
      </c>
      <c r="M46" s="148" t="s">
        <v>649</v>
      </c>
      <c r="N46" s="146" t="s">
        <v>715</v>
      </c>
      <c r="O46" s="148" t="s">
        <v>716</v>
      </c>
      <c r="P46" s="237" t="s">
        <v>1063</v>
      </c>
      <c r="Q46" s="238" t="s">
        <v>1064</v>
      </c>
    </row>
    <row r="47" spans="3:21">
      <c r="C47" s="145"/>
      <c r="D47" s="146" t="s">
        <v>644</v>
      </c>
      <c r="E47" s="148" t="s">
        <v>620</v>
      </c>
      <c r="F47" s="146" t="s">
        <v>644</v>
      </c>
      <c r="G47" s="148" t="s">
        <v>620</v>
      </c>
      <c r="H47" s="146" t="s">
        <v>644</v>
      </c>
      <c r="I47" s="148" t="s">
        <v>620</v>
      </c>
      <c r="J47" s="146" t="s">
        <v>627</v>
      </c>
      <c r="K47" s="148" t="s">
        <v>628</v>
      </c>
      <c r="L47" s="146" t="s">
        <v>627</v>
      </c>
      <c r="M47" s="148" t="s">
        <v>628</v>
      </c>
      <c r="N47" s="146" t="s">
        <v>717</v>
      </c>
      <c r="O47" s="148" t="s">
        <v>718</v>
      </c>
      <c r="P47" s="237" t="s">
        <v>1069</v>
      </c>
      <c r="Q47" s="238" t="s">
        <v>1070</v>
      </c>
    </row>
    <row r="48" spans="3:21">
      <c r="C48" s="145"/>
      <c r="D48" s="146" t="s">
        <v>646</v>
      </c>
      <c r="E48" s="148" t="s">
        <v>623</v>
      </c>
      <c r="F48" s="146" t="s">
        <v>646</v>
      </c>
      <c r="G48" s="148" t="s">
        <v>623</v>
      </c>
      <c r="H48" s="146" t="s">
        <v>646</v>
      </c>
      <c r="I48" s="148" t="s">
        <v>623</v>
      </c>
      <c r="J48" s="146" t="s">
        <v>630</v>
      </c>
      <c r="K48" s="148" t="s">
        <v>631</v>
      </c>
      <c r="L48" s="146" t="s">
        <v>630</v>
      </c>
      <c r="M48" s="148" t="s">
        <v>631</v>
      </c>
      <c r="N48" s="146" t="s">
        <v>1018</v>
      </c>
      <c r="O48" s="148" t="s">
        <v>657</v>
      </c>
      <c r="P48" s="245" t="s">
        <v>1065</v>
      </c>
      <c r="Q48" s="246" t="s">
        <v>1066</v>
      </c>
    </row>
    <row r="49" spans="3:17" ht="16.2" thickBot="1">
      <c r="C49" s="145"/>
      <c r="D49" s="146" t="s">
        <v>648</v>
      </c>
      <c r="E49" s="148" t="s">
        <v>649</v>
      </c>
      <c r="F49" s="278" t="s">
        <v>648</v>
      </c>
      <c r="G49" s="279" t="s">
        <v>649</v>
      </c>
      <c r="H49" s="146" t="s">
        <v>648</v>
      </c>
      <c r="I49" s="148" t="s">
        <v>649</v>
      </c>
      <c r="J49" s="146" t="s">
        <v>652</v>
      </c>
      <c r="K49" s="148" t="s">
        <v>653</v>
      </c>
      <c r="L49" s="146" t="s">
        <v>652</v>
      </c>
      <c r="M49" s="148" t="s">
        <v>653</v>
      </c>
      <c r="N49" s="146" t="s">
        <v>719</v>
      </c>
      <c r="O49" s="148" t="s">
        <v>720</v>
      </c>
      <c r="P49" s="247" t="s">
        <v>1071</v>
      </c>
      <c r="Q49" s="248" t="s">
        <v>1072</v>
      </c>
    </row>
    <row r="50" spans="3:17">
      <c r="C50" s="145"/>
      <c r="D50" s="146" t="s">
        <v>627</v>
      </c>
      <c r="E50" s="148" t="s">
        <v>628</v>
      </c>
      <c r="F50" s="278" t="s">
        <v>627</v>
      </c>
      <c r="G50" s="279" t="s">
        <v>628</v>
      </c>
      <c r="H50" s="146" t="s">
        <v>627</v>
      </c>
      <c r="I50" s="148" t="s">
        <v>628</v>
      </c>
      <c r="J50" s="146" t="s">
        <v>633</v>
      </c>
      <c r="K50" s="148" t="s">
        <v>634</v>
      </c>
      <c r="L50" s="146" t="s">
        <v>633</v>
      </c>
      <c r="M50" s="148" t="s">
        <v>634</v>
      </c>
      <c r="N50" s="146" t="s">
        <v>1235</v>
      </c>
      <c r="O50" s="148" t="s">
        <v>1236</v>
      </c>
    </row>
    <row r="51" spans="3:17">
      <c r="C51" s="145"/>
      <c r="D51" s="146" t="s">
        <v>630</v>
      </c>
      <c r="E51" s="148" t="s">
        <v>631</v>
      </c>
      <c r="F51" s="278" t="s">
        <v>630</v>
      </c>
      <c r="G51" s="279" t="s">
        <v>631</v>
      </c>
      <c r="H51" s="146" t="s">
        <v>630</v>
      </c>
      <c r="I51" s="148" t="s">
        <v>631</v>
      </c>
      <c r="J51" s="146" t="s">
        <v>637</v>
      </c>
      <c r="K51" s="148" t="s">
        <v>638</v>
      </c>
      <c r="L51" s="146" t="s">
        <v>637</v>
      </c>
      <c r="M51" s="148" t="s">
        <v>638</v>
      </c>
      <c r="N51" s="245" t="s">
        <v>1073</v>
      </c>
      <c r="O51" s="246" t="s">
        <v>1074</v>
      </c>
    </row>
    <row r="52" spans="3:17">
      <c r="C52" s="145"/>
      <c r="D52" s="146" t="s">
        <v>652</v>
      </c>
      <c r="E52" s="148" t="s">
        <v>653</v>
      </c>
      <c r="F52" s="278" t="s">
        <v>652</v>
      </c>
      <c r="G52" s="279" t="s">
        <v>653</v>
      </c>
      <c r="H52" s="146" t="s">
        <v>652</v>
      </c>
      <c r="I52" s="148" t="s">
        <v>653</v>
      </c>
      <c r="J52" s="146" t="s">
        <v>654</v>
      </c>
      <c r="K52" s="148" t="s">
        <v>655</v>
      </c>
      <c r="L52" s="146" t="s">
        <v>654</v>
      </c>
      <c r="M52" s="148" t="s">
        <v>655</v>
      </c>
      <c r="N52" s="237" t="s">
        <v>1067</v>
      </c>
      <c r="O52" s="238" t="s">
        <v>1068</v>
      </c>
    </row>
    <row r="53" spans="3:17">
      <c r="C53" s="145"/>
      <c r="D53" s="146" t="s">
        <v>633</v>
      </c>
      <c r="E53" s="148" t="s">
        <v>634</v>
      </c>
      <c r="F53" s="278" t="s">
        <v>633</v>
      </c>
      <c r="G53" s="279" t="s">
        <v>634</v>
      </c>
      <c r="H53" s="146" t="s">
        <v>633</v>
      </c>
      <c r="I53" s="148" t="s">
        <v>634</v>
      </c>
      <c r="J53" s="146" t="s">
        <v>713</v>
      </c>
      <c r="K53" s="148" t="s">
        <v>714</v>
      </c>
      <c r="L53" s="146" t="s">
        <v>713</v>
      </c>
      <c r="M53" s="148" t="s">
        <v>714</v>
      </c>
      <c r="N53" s="237" t="s">
        <v>1063</v>
      </c>
      <c r="O53" s="238" t="s">
        <v>1064</v>
      </c>
    </row>
    <row r="54" spans="3:17">
      <c r="C54" s="145"/>
      <c r="D54" s="146" t="s">
        <v>637</v>
      </c>
      <c r="E54" s="148" t="s">
        <v>638</v>
      </c>
      <c r="F54" s="278" t="s">
        <v>637</v>
      </c>
      <c r="G54" s="279" t="s">
        <v>638</v>
      </c>
      <c r="H54" s="146" t="s">
        <v>637</v>
      </c>
      <c r="I54" s="148" t="s">
        <v>638</v>
      </c>
      <c r="J54" s="146" t="s">
        <v>715</v>
      </c>
      <c r="K54" s="148" t="s">
        <v>716</v>
      </c>
      <c r="L54" s="146" t="s">
        <v>715</v>
      </c>
      <c r="M54" s="148" t="s">
        <v>716</v>
      </c>
      <c r="N54" s="237" t="s">
        <v>1069</v>
      </c>
      <c r="O54" s="238" t="s">
        <v>1070</v>
      </c>
    </row>
    <row r="55" spans="3:17">
      <c r="C55" s="145"/>
      <c r="D55" s="146" t="s">
        <v>654</v>
      </c>
      <c r="E55" s="148" t="s">
        <v>655</v>
      </c>
      <c r="F55" s="278" t="s">
        <v>654</v>
      </c>
      <c r="G55" s="279" t="s">
        <v>655</v>
      </c>
      <c r="H55" s="146" t="s">
        <v>654</v>
      </c>
      <c r="I55" s="148" t="s">
        <v>655</v>
      </c>
      <c r="J55" s="146" t="s">
        <v>717</v>
      </c>
      <c r="K55" s="148" t="s">
        <v>718</v>
      </c>
      <c r="L55" s="146" t="s">
        <v>717</v>
      </c>
      <c r="M55" s="148" t="s">
        <v>718</v>
      </c>
      <c r="N55" s="245" t="s">
        <v>1065</v>
      </c>
      <c r="O55" s="246" t="s">
        <v>1075</v>
      </c>
    </row>
    <row r="56" spans="3:17" ht="16.2" thickBot="1">
      <c r="C56" s="145"/>
      <c r="D56" s="146" t="s">
        <v>713</v>
      </c>
      <c r="E56" s="148" t="s">
        <v>714</v>
      </c>
      <c r="F56" s="278" t="s">
        <v>713</v>
      </c>
      <c r="G56" s="279" t="s">
        <v>714</v>
      </c>
      <c r="H56" s="146" t="s">
        <v>713</v>
      </c>
      <c r="I56" s="148" t="s">
        <v>714</v>
      </c>
      <c r="J56" s="146" t="s">
        <v>1018</v>
      </c>
      <c r="K56" s="148" t="s">
        <v>657</v>
      </c>
      <c r="L56" s="146" t="s">
        <v>1018</v>
      </c>
      <c r="M56" s="148" t="s">
        <v>657</v>
      </c>
      <c r="N56" s="249" t="s">
        <v>1071</v>
      </c>
      <c r="O56" s="248" t="s">
        <v>1072</v>
      </c>
    </row>
    <row r="57" spans="3:17">
      <c r="C57" s="145"/>
      <c r="D57" s="146" t="s">
        <v>715</v>
      </c>
      <c r="E57" s="148" t="s">
        <v>716</v>
      </c>
      <c r="F57" s="278" t="s">
        <v>715</v>
      </c>
      <c r="G57" s="279" t="s">
        <v>716</v>
      </c>
      <c r="H57" s="146" t="s">
        <v>715</v>
      </c>
      <c r="I57" s="148" t="s">
        <v>716</v>
      </c>
      <c r="J57" s="149" t="s">
        <v>658</v>
      </c>
      <c r="K57" s="150" t="s">
        <v>659</v>
      </c>
      <c r="L57" s="149" t="s">
        <v>658</v>
      </c>
      <c r="M57" s="150" t="s">
        <v>659</v>
      </c>
    </row>
    <row r="58" spans="3:17">
      <c r="C58" s="145"/>
      <c r="D58" s="146" t="s">
        <v>717</v>
      </c>
      <c r="E58" s="148" t="s">
        <v>718</v>
      </c>
      <c r="F58" s="278" t="s">
        <v>717</v>
      </c>
      <c r="G58" s="279" t="s">
        <v>718</v>
      </c>
      <c r="H58" s="146" t="s">
        <v>717</v>
      </c>
      <c r="I58" s="148" t="s">
        <v>718</v>
      </c>
      <c r="J58" s="146" t="s">
        <v>719</v>
      </c>
      <c r="K58" s="148" t="s">
        <v>720</v>
      </c>
      <c r="L58" s="146" t="s">
        <v>719</v>
      </c>
      <c r="M58" s="148" t="s">
        <v>720</v>
      </c>
    </row>
    <row r="59" spans="3:17">
      <c r="C59" s="145"/>
      <c r="D59" s="146" t="s">
        <v>1018</v>
      </c>
      <c r="E59" s="148" t="s">
        <v>657</v>
      </c>
      <c r="F59" s="278" t="s">
        <v>1018</v>
      </c>
      <c r="G59" s="279" t="s">
        <v>657</v>
      </c>
      <c r="H59" s="146" t="s">
        <v>1018</v>
      </c>
      <c r="I59" s="148" t="s">
        <v>657</v>
      </c>
      <c r="J59" s="146" t="s">
        <v>721</v>
      </c>
      <c r="K59" s="148" t="s">
        <v>722</v>
      </c>
      <c r="L59" s="146" t="s">
        <v>721</v>
      </c>
      <c r="M59" s="148" t="s">
        <v>722</v>
      </c>
    </row>
    <row r="60" spans="3:17">
      <c r="C60" s="145"/>
      <c r="D60" s="146" t="s">
        <v>658</v>
      </c>
      <c r="E60" s="148" t="s">
        <v>660</v>
      </c>
      <c r="F60" s="149" t="s">
        <v>658</v>
      </c>
      <c r="G60" s="150" t="s">
        <v>660</v>
      </c>
      <c r="H60" s="149" t="s">
        <v>658</v>
      </c>
      <c r="I60" s="150" t="s">
        <v>660</v>
      </c>
      <c r="J60" s="146" t="s">
        <v>723</v>
      </c>
      <c r="K60" s="148" t="s">
        <v>724</v>
      </c>
      <c r="L60" s="146" t="s">
        <v>723</v>
      </c>
      <c r="M60" s="148" t="s">
        <v>724</v>
      </c>
    </row>
    <row r="61" spans="3:17">
      <c r="C61" s="145"/>
      <c r="D61" s="149" t="s">
        <v>661</v>
      </c>
      <c r="E61" s="150" t="s">
        <v>662</v>
      </c>
      <c r="F61" s="278" t="s">
        <v>719</v>
      </c>
      <c r="G61" s="279" t="s">
        <v>720</v>
      </c>
      <c r="H61" s="146" t="s">
        <v>719</v>
      </c>
      <c r="I61" s="148" t="s">
        <v>720</v>
      </c>
      <c r="J61" s="146" t="s">
        <v>725</v>
      </c>
      <c r="K61" s="148" t="s">
        <v>726</v>
      </c>
      <c r="L61" s="146" t="s">
        <v>725</v>
      </c>
      <c r="M61" s="148" t="s">
        <v>726</v>
      </c>
    </row>
    <row r="62" spans="3:17">
      <c r="C62" s="145"/>
      <c r="D62" s="146" t="s">
        <v>719</v>
      </c>
      <c r="E62" s="148" t="s">
        <v>720</v>
      </c>
      <c r="F62" s="278" t="s">
        <v>721</v>
      </c>
      <c r="G62" s="279" t="s">
        <v>722</v>
      </c>
      <c r="H62" s="146" t="s">
        <v>721</v>
      </c>
      <c r="I62" s="148" t="s">
        <v>722</v>
      </c>
      <c r="J62" s="146" t="s">
        <v>1019</v>
      </c>
      <c r="K62" s="148" t="s">
        <v>1020</v>
      </c>
      <c r="L62" s="146" t="s">
        <v>1019</v>
      </c>
      <c r="M62" s="148" t="s">
        <v>1020</v>
      </c>
    </row>
    <row r="63" spans="3:17">
      <c r="C63" s="145"/>
      <c r="D63" s="146" t="s">
        <v>721</v>
      </c>
      <c r="E63" s="148" t="s">
        <v>722</v>
      </c>
      <c r="F63" s="278" t="s">
        <v>723</v>
      </c>
      <c r="G63" s="279" t="s">
        <v>724</v>
      </c>
      <c r="H63" s="146" t="s">
        <v>723</v>
      </c>
      <c r="I63" s="148" t="s">
        <v>724</v>
      </c>
      <c r="J63" s="146" t="s">
        <v>1021</v>
      </c>
      <c r="K63" s="148" t="s">
        <v>1022</v>
      </c>
      <c r="L63" s="146" t="s">
        <v>1021</v>
      </c>
      <c r="M63" s="148" t="s">
        <v>1022</v>
      </c>
    </row>
    <row r="64" spans="3:17">
      <c r="C64" s="145"/>
      <c r="D64" s="146" t="s">
        <v>723</v>
      </c>
      <c r="E64" s="148" t="s">
        <v>724</v>
      </c>
      <c r="F64" s="278" t="s">
        <v>725</v>
      </c>
      <c r="G64" s="279" t="s">
        <v>726</v>
      </c>
      <c r="H64" s="146" t="s">
        <v>725</v>
      </c>
      <c r="I64" s="148" t="s">
        <v>726</v>
      </c>
      <c r="J64" s="146" t="s">
        <v>1023</v>
      </c>
      <c r="K64" s="148" t="s">
        <v>1024</v>
      </c>
      <c r="L64" s="146" t="s">
        <v>1235</v>
      </c>
      <c r="M64" s="148" t="s">
        <v>1236</v>
      </c>
    </row>
    <row r="65" spans="3:13">
      <c r="C65" s="145"/>
      <c r="D65" s="146" t="s">
        <v>725</v>
      </c>
      <c r="E65" s="148" t="s">
        <v>726</v>
      </c>
      <c r="F65" s="278" t="s">
        <v>1019</v>
      </c>
      <c r="G65" s="279" t="s">
        <v>1020</v>
      </c>
      <c r="H65" s="146" t="s">
        <v>1019</v>
      </c>
      <c r="I65" s="148" t="s">
        <v>1020</v>
      </c>
      <c r="J65" s="146" t="s">
        <v>1025</v>
      </c>
      <c r="K65" s="148" t="s">
        <v>1026</v>
      </c>
      <c r="L65" s="146" t="s">
        <v>1237</v>
      </c>
      <c r="M65" s="148" t="s">
        <v>1238</v>
      </c>
    </row>
    <row r="66" spans="3:13">
      <c r="C66" s="145"/>
      <c r="D66" s="146" t="s">
        <v>1019</v>
      </c>
      <c r="E66" s="148" t="s">
        <v>1020</v>
      </c>
      <c r="F66" s="278" t="s">
        <v>1021</v>
      </c>
      <c r="G66" s="279" t="s">
        <v>1022</v>
      </c>
      <c r="H66" s="146" t="s">
        <v>1021</v>
      </c>
      <c r="I66" s="148" t="s">
        <v>1022</v>
      </c>
      <c r="J66" s="146" t="s">
        <v>1235</v>
      </c>
      <c r="K66" s="148" t="s">
        <v>1236</v>
      </c>
      <c r="L66" s="245" t="s">
        <v>1073</v>
      </c>
      <c r="M66" s="246" t="s">
        <v>1074</v>
      </c>
    </row>
    <row r="67" spans="3:13">
      <c r="C67" s="145"/>
      <c r="D67" s="146" t="s">
        <v>1021</v>
      </c>
      <c r="E67" s="148" t="s">
        <v>1022</v>
      </c>
      <c r="F67" s="278" t="s">
        <v>1023</v>
      </c>
      <c r="G67" s="279" t="s">
        <v>1024</v>
      </c>
      <c r="H67" s="146" t="s">
        <v>1023</v>
      </c>
      <c r="I67" s="148" t="s">
        <v>1024</v>
      </c>
      <c r="J67" s="146" t="s">
        <v>1237</v>
      </c>
      <c r="K67" s="148" t="s">
        <v>1238</v>
      </c>
      <c r="L67" s="237" t="s">
        <v>1067</v>
      </c>
      <c r="M67" s="238" t="s">
        <v>1068</v>
      </c>
    </row>
    <row r="68" spans="3:13">
      <c r="C68" s="145"/>
      <c r="D68" s="146" t="s">
        <v>1023</v>
      </c>
      <c r="E68" s="148" t="s">
        <v>1024</v>
      </c>
      <c r="F68" s="278" t="s">
        <v>1025</v>
      </c>
      <c r="G68" s="279" t="s">
        <v>1026</v>
      </c>
      <c r="H68" s="146" t="s">
        <v>1025</v>
      </c>
      <c r="I68" s="148" t="s">
        <v>1026</v>
      </c>
      <c r="J68" s="245" t="s">
        <v>1073</v>
      </c>
      <c r="K68" s="246" t="s">
        <v>1074</v>
      </c>
      <c r="L68" s="237" t="s">
        <v>1063</v>
      </c>
      <c r="M68" s="238" t="s">
        <v>1064</v>
      </c>
    </row>
    <row r="69" spans="3:13">
      <c r="C69" s="145"/>
      <c r="D69" s="146" t="s">
        <v>1025</v>
      </c>
      <c r="E69" s="148" t="s">
        <v>1026</v>
      </c>
      <c r="F69" s="278" t="s">
        <v>1027</v>
      </c>
      <c r="G69" s="279" t="s">
        <v>1028</v>
      </c>
      <c r="H69" s="237" t="s">
        <v>1079</v>
      </c>
      <c r="I69" s="238" t="s">
        <v>1080</v>
      </c>
      <c r="J69" s="237" t="s">
        <v>1076</v>
      </c>
      <c r="K69" s="238" t="s">
        <v>1077</v>
      </c>
      <c r="L69" s="237" t="s">
        <v>1069</v>
      </c>
      <c r="M69" s="238" t="s">
        <v>1070</v>
      </c>
    </row>
    <row r="70" spans="3:13">
      <c r="C70" s="145"/>
      <c r="D70" s="146" t="s">
        <v>1027</v>
      </c>
      <c r="E70" s="148" t="s">
        <v>1028</v>
      </c>
      <c r="F70" s="278" t="s">
        <v>1029</v>
      </c>
      <c r="G70" s="279" t="s">
        <v>1030</v>
      </c>
      <c r="H70" s="245" t="s">
        <v>1073</v>
      </c>
      <c r="I70" s="246" t="s">
        <v>1074</v>
      </c>
      <c r="J70" s="237" t="s">
        <v>1067</v>
      </c>
      <c r="K70" s="238" t="s">
        <v>1068</v>
      </c>
      <c r="L70" s="245" t="s">
        <v>1078</v>
      </c>
      <c r="M70" s="246" t="s">
        <v>1075</v>
      </c>
    </row>
    <row r="71" spans="3:13">
      <c r="C71" s="145"/>
      <c r="D71" s="146" t="s">
        <v>1029</v>
      </c>
      <c r="E71" s="148" t="s">
        <v>1030</v>
      </c>
      <c r="F71" s="278" t="s">
        <v>1235</v>
      </c>
      <c r="G71" s="279" t="s">
        <v>1236</v>
      </c>
      <c r="H71" s="237" t="s">
        <v>1076</v>
      </c>
      <c r="I71" s="238" t="s">
        <v>1077</v>
      </c>
      <c r="J71" s="237" t="s">
        <v>1063</v>
      </c>
      <c r="K71" s="238" t="s">
        <v>1064</v>
      </c>
      <c r="L71" s="245" t="s">
        <v>1081</v>
      </c>
      <c r="M71" s="246" t="s">
        <v>1082</v>
      </c>
    </row>
    <row r="72" spans="3:13">
      <c r="C72" s="145"/>
      <c r="D72" s="146" t="s">
        <v>1235</v>
      </c>
      <c r="E72" s="148" t="s">
        <v>1236</v>
      </c>
      <c r="F72" s="278" t="s">
        <v>1237</v>
      </c>
      <c r="G72" s="279" t="s">
        <v>1238</v>
      </c>
      <c r="H72" s="237" t="s">
        <v>1067</v>
      </c>
      <c r="I72" s="238" t="s">
        <v>1068</v>
      </c>
      <c r="J72" s="237" t="s">
        <v>1083</v>
      </c>
      <c r="K72" s="238" t="s">
        <v>1084</v>
      </c>
      <c r="L72" s="245" t="s">
        <v>1085</v>
      </c>
      <c r="M72" s="246" t="s">
        <v>1086</v>
      </c>
    </row>
    <row r="73" spans="3:13">
      <c r="C73" s="145"/>
      <c r="D73" s="146" t="s">
        <v>1237</v>
      </c>
      <c r="E73" s="148" t="s">
        <v>1238</v>
      </c>
      <c r="F73" s="278" t="s">
        <v>1239</v>
      </c>
      <c r="G73" s="279" t="s">
        <v>1240</v>
      </c>
      <c r="H73" s="237" t="s">
        <v>1063</v>
      </c>
      <c r="I73" s="238" t="s">
        <v>1064</v>
      </c>
      <c r="J73" s="237" t="s">
        <v>1069</v>
      </c>
      <c r="K73" s="238" t="s">
        <v>1070</v>
      </c>
      <c r="L73" s="245" t="s">
        <v>1071</v>
      </c>
      <c r="M73" s="246" t="s">
        <v>1072</v>
      </c>
    </row>
    <row r="74" spans="3:13">
      <c r="C74" s="145"/>
      <c r="D74" s="146" t="s">
        <v>1239</v>
      </c>
      <c r="E74" s="148" t="s">
        <v>1240</v>
      </c>
      <c r="F74" s="280" t="s">
        <v>1079</v>
      </c>
      <c r="G74" s="281" t="s">
        <v>1080</v>
      </c>
      <c r="H74" s="237" t="s">
        <v>1083</v>
      </c>
      <c r="I74" s="238" t="s">
        <v>1084</v>
      </c>
      <c r="J74" s="245" t="s">
        <v>1065</v>
      </c>
      <c r="K74" s="246" t="s">
        <v>1075</v>
      </c>
      <c r="L74" s="245" t="s">
        <v>1087</v>
      </c>
      <c r="M74" s="246" t="s">
        <v>1088</v>
      </c>
    </row>
    <row r="75" spans="3:13">
      <c r="C75" s="145"/>
      <c r="D75" s="237" t="s">
        <v>1079</v>
      </c>
      <c r="E75" s="238" t="s">
        <v>1080</v>
      </c>
      <c r="F75" s="282" t="s">
        <v>1073</v>
      </c>
      <c r="G75" s="283" t="s">
        <v>1074</v>
      </c>
      <c r="H75" s="237" t="s">
        <v>1069</v>
      </c>
      <c r="I75" s="238" t="s">
        <v>1070</v>
      </c>
      <c r="J75" s="245" t="s">
        <v>1081</v>
      </c>
      <c r="K75" s="246" t="s">
        <v>1082</v>
      </c>
      <c r="L75" s="245" t="s">
        <v>1089</v>
      </c>
      <c r="M75" s="246" t="s">
        <v>1090</v>
      </c>
    </row>
    <row r="76" spans="3:13">
      <c r="C76" s="145"/>
      <c r="D76" s="245" t="s">
        <v>1073</v>
      </c>
      <c r="E76" s="246" t="s">
        <v>1074</v>
      </c>
      <c r="F76" s="280" t="s">
        <v>1076</v>
      </c>
      <c r="G76" s="281" t="s">
        <v>1077</v>
      </c>
      <c r="H76" s="245" t="s">
        <v>1065</v>
      </c>
      <c r="I76" s="246" t="s">
        <v>1066</v>
      </c>
      <c r="J76" s="245" t="s">
        <v>1093</v>
      </c>
      <c r="K76" s="246" t="s">
        <v>1094</v>
      </c>
      <c r="L76" s="245" t="s">
        <v>1095</v>
      </c>
      <c r="M76" s="246" t="s">
        <v>1096</v>
      </c>
    </row>
    <row r="77" spans="3:13" ht="16.2" thickBot="1">
      <c r="C77" s="145"/>
      <c r="D77" s="250" t="s">
        <v>1091</v>
      </c>
      <c r="E77" s="251" t="s">
        <v>1092</v>
      </c>
      <c r="F77" s="280" t="s">
        <v>1067</v>
      </c>
      <c r="G77" s="281" t="s">
        <v>1068</v>
      </c>
      <c r="H77" s="245" t="s">
        <v>1081</v>
      </c>
      <c r="I77" s="246" t="s">
        <v>1082</v>
      </c>
      <c r="J77" s="245" t="s">
        <v>1099</v>
      </c>
      <c r="K77" s="246" t="s">
        <v>1100</v>
      </c>
      <c r="L77" s="247" t="s">
        <v>1101</v>
      </c>
      <c r="M77" s="248" t="s">
        <v>1102</v>
      </c>
    </row>
    <row r="78" spans="3:13">
      <c r="C78" s="145"/>
      <c r="D78" s="245" t="s">
        <v>1097</v>
      </c>
      <c r="E78" s="246" t="s">
        <v>1098</v>
      </c>
      <c r="F78" s="280" t="s">
        <v>1063</v>
      </c>
      <c r="G78" s="281" t="s">
        <v>1064</v>
      </c>
      <c r="H78" s="245" t="s">
        <v>1093</v>
      </c>
      <c r="I78" s="246" t="s">
        <v>1103</v>
      </c>
      <c r="J78" s="245" t="s">
        <v>1085</v>
      </c>
      <c r="K78" s="246" t="s">
        <v>1086</v>
      </c>
    </row>
    <row r="79" spans="3:13">
      <c r="C79" s="145"/>
      <c r="D79" s="237" t="s">
        <v>1076</v>
      </c>
      <c r="E79" s="238" t="s">
        <v>1077</v>
      </c>
      <c r="F79" s="280" t="s">
        <v>1106</v>
      </c>
      <c r="G79" s="281" t="s">
        <v>1107</v>
      </c>
      <c r="H79" s="245" t="s">
        <v>1099</v>
      </c>
      <c r="I79" s="246" t="s">
        <v>1100</v>
      </c>
      <c r="J79" s="245" t="s">
        <v>1071</v>
      </c>
      <c r="K79" s="246" t="s">
        <v>1072</v>
      </c>
    </row>
    <row r="80" spans="3:13">
      <c r="C80" s="145"/>
      <c r="D80" s="237" t="s">
        <v>1067</v>
      </c>
      <c r="E80" s="238" t="s">
        <v>1068</v>
      </c>
      <c r="F80" s="280" t="s">
        <v>1083</v>
      </c>
      <c r="G80" s="281" t="s">
        <v>1084</v>
      </c>
      <c r="H80" s="245" t="s">
        <v>1085</v>
      </c>
      <c r="I80" s="246" t="s">
        <v>1112</v>
      </c>
      <c r="J80" s="245" t="s">
        <v>1104</v>
      </c>
      <c r="K80" s="246" t="s">
        <v>1105</v>
      </c>
    </row>
    <row r="81" spans="1:25">
      <c r="C81" s="145"/>
      <c r="D81" s="237" t="s">
        <v>1063</v>
      </c>
      <c r="E81" s="238" t="s">
        <v>1064</v>
      </c>
      <c r="F81" s="280" t="s">
        <v>1069</v>
      </c>
      <c r="G81" s="281" t="s">
        <v>1070</v>
      </c>
      <c r="H81" s="245" t="s">
        <v>1071</v>
      </c>
      <c r="I81" s="246" t="s">
        <v>1115</v>
      </c>
      <c r="J81" s="245" t="s">
        <v>1108</v>
      </c>
      <c r="K81" s="246" t="s">
        <v>1109</v>
      </c>
    </row>
    <row r="82" spans="1:25">
      <c r="C82" s="145"/>
      <c r="D82" s="237" t="s">
        <v>1106</v>
      </c>
      <c r="E82" s="238" t="s">
        <v>1107</v>
      </c>
      <c r="F82" s="282" t="s">
        <v>1065</v>
      </c>
      <c r="G82" s="283" t="s">
        <v>1066</v>
      </c>
      <c r="H82" s="245" t="s">
        <v>1118</v>
      </c>
      <c r="I82" s="246" t="s">
        <v>1119</v>
      </c>
      <c r="J82" s="245" t="s">
        <v>1113</v>
      </c>
      <c r="K82" s="246" t="s">
        <v>1114</v>
      </c>
    </row>
    <row r="83" spans="1:25">
      <c r="C83" s="145"/>
      <c r="D83" s="237" t="s">
        <v>1110</v>
      </c>
      <c r="E83" s="238" t="s">
        <v>1111</v>
      </c>
      <c r="F83" s="282" t="s">
        <v>1081</v>
      </c>
      <c r="G83" s="283" t="s">
        <v>1082</v>
      </c>
      <c r="H83" s="245" t="s">
        <v>1122</v>
      </c>
      <c r="I83" s="246" t="s">
        <v>1123</v>
      </c>
      <c r="J83" s="245" t="s">
        <v>1116</v>
      </c>
      <c r="K83" s="246" t="s">
        <v>1117</v>
      </c>
    </row>
    <row r="84" spans="1:25">
      <c r="C84" s="145"/>
      <c r="D84" s="237" t="s">
        <v>1083</v>
      </c>
      <c r="E84" s="238" t="s">
        <v>1084</v>
      </c>
      <c r="F84" s="282" t="s">
        <v>1093</v>
      </c>
      <c r="G84" s="283" t="s">
        <v>1103</v>
      </c>
      <c r="H84" s="245" t="s">
        <v>1104</v>
      </c>
      <c r="I84" s="246" t="s">
        <v>1105</v>
      </c>
      <c r="J84" s="245" t="s">
        <v>1120</v>
      </c>
      <c r="K84" s="246" t="s">
        <v>1121</v>
      </c>
    </row>
    <row r="85" spans="1:25">
      <c r="C85" s="145"/>
      <c r="D85" s="237" t="s">
        <v>1069</v>
      </c>
      <c r="E85" s="238" t="s">
        <v>1070</v>
      </c>
      <c r="F85" s="282" t="s">
        <v>1099</v>
      </c>
      <c r="G85" s="283" t="s">
        <v>1100</v>
      </c>
      <c r="H85" s="245" t="s">
        <v>1128</v>
      </c>
      <c r="I85" s="246" t="s">
        <v>1129</v>
      </c>
      <c r="J85" s="245" t="s">
        <v>1124</v>
      </c>
      <c r="K85" s="246" t="s">
        <v>1125</v>
      </c>
    </row>
    <row r="86" spans="1:25">
      <c r="C86" s="145"/>
      <c r="D86" s="245" t="s">
        <v>1065</v>
      </c>
      <c r="E86" s="246" t="s">
        <v>1066</v>
      </c>
      <c r="F86" s="282" t="s">
        <v>1085</v>
      </c>
      <c r="G86" s="283" t="s">
        <v>1112</v>
      </c>
      <c r="H86" s="245" t="s">
        <v>1132</v>
      </c>
      <c r="I86" s="246" t="s">
        <v>1133</v>
      </c>
      <c r="J86" s="245" t="s">
        <v>1087</v>
      </c>
      <c r="K86" s="246" t="s">
        <v>1088</v>
      </c>
    </row>
    <row r="87" spans="1:25">
      <c r="C87" s="145"/>
      <c r="D87" s="245" t="s">
        <v>1126</v>
      </c>
      <c r="E87" s="246" t="s">
        <v>1127</v>
      </c>
      <c r="F87" s="282" t="s">
        <v>1071</v>
      </c>
      <c r="G87" s="283" t="s">
        <v>1115</v>
      </c>
      <c r="H87" s="245" t="s">
        <v>1108</v>
      </c>
      <c r="I87" s="246" t="s">
        <v>1109</v>
      </c>
      <c r="J87" s="245" t="s">
        <v>1089</v>
      </c>
      <c r="K87" s="246" t="s">
        <v>1090</v>
      </c>
    </row>
    <row r="88" spans="1:25">
      <c r="C88" s="145"/>
      <c r="D88" s="245" t="s">
        <v>1081</v>
      </c>
      <c r="E88" s="246" t="s">
        <v>1082</v>
      </c>
      <c r="F88" s="282" t="s">
        <v>1155</v>
      </c>
      <c r="G88" s="283" t="s">
        <v>1156</v>
      </c>
      <c r="H88" s="245" t="s">
        <v>1113</v>
      </c>
      <c r="I88" s="246" t="s">
        <v>1114</v>
      </c>
      <c r="J88" s="245" t="s">
        <v>1134</v>
      </c>
      <c r="K88" s="246" t="s">
        <v>1135</v>
      </c>
    </row>
    <row r="89" spans="1:25" s="157" customFormat="1">
      <c r="A89" s="155"/>
      <c r="B89" s="155"/>
      <c r="C89" s="145"/>
      <c r="D89" s="245" t="s">
        <v>1130</v>
      </c>
      <c r="E89" s="246" t="s">
        <v>1131</v>
      </c>
      <c r="F89" s="282" t="s">
        <v>1157</v>
      </c>
      <c r="G89" s="283" t="s">
        <v>1158</v>
      </c>
      <c r="H89" s="245" t="s">
        <v>1140</v>
      </c>
      <c r="I89" s="246" t="s">
        <v>1141</v>
      </c>
      <c r="J89" s="245" t="s">
        <v>1138</v>
      </c>
      <c r="K89" s="246" t="s">
        <v>1139</v>
      </c>
      <c r="L89" s="155"/>
      <c r="M89" s="155"/>
      <c r="N89" s="155"/>
      <c r="O89" s="155"/>
      <c r="P89" s="155"/>
      <c r="Q89" s="155"/>
      <c r="R89" s="155"/>
      <c r="S89" s="155"/>
      <c r="T89" s="155"/>
      <c r="U89" s="155"/>
      <c r="V89" s="155"/>
      <c r="W89" s="155"/>
      <c r="X89" s="155"/>
      <c r="Y89" s="155"/>
    </row>
    <row r="90" spans="1:25" s="157" customFormat="1">
      <c r="A90" s="155"/>
      <c r="B90" s="155"/>
      <c r="C90" s="145"/>
      <c r="D90" s="245" t="s">
        <v>1136</v>
      </c>
      <c r="E90" s="246" t="s">
        <v>1137</v>
      </c>
      <c r="F90" s="282" t="s">
        <v>1118</v>
      </c>
      <c r="G90" s="283" t="s">
        <v>1119</v>
      </c>
      <c r="H90" s="245" t="s">
        <v>1116</v>
      </c>
      <c r="I90" s="246" t="s">
        <v>1117</v>
      </c>
      <c r="J90" s="245" t="s">
        <v>1095</v>
      </c>
      <c r="K90" s="246" t="s">
        <v>1096</v>
      </c>
      <c r="L90" s="155"/>
      <c r="M90" s="155"/>
      <c r="N90" s="155"/>
      <c r="O90" s="155"/>
      <c r="P90" s="155"/>
      <c r="Q90" s="155"/>
      <c r="R90" s="155"/>
      <c r="S90" s="155"/>
      <c r="T90" s="155"/>
      <c r="U90" s="155"/>
      <c r="V90" s="155"/>
      <c r="W90" s="155"/>
      <c r="X90" s="155"/>
      <c r="Y90" s="155"/>
    </row>
    <row r="91" spans="1:25" s="157" customFormat="1">
      <c r="A91" s="155"/>
      <c r="B91" s="155"/>
      <c r="C91" s="145"/>
      <c r="D91" s="245" t="s">
        <v>1093</v>
      </c>
      <c r="E91" s="246" t="s">
        <v>1103</v>
      </c>
      <c r="F91" s="282" t="s">
        <v>1163</v>
      </c>
      <c r="G91" s="283" t="s">
        <v>1164</v>
      </c>
      <c r="H91" s="245" t="s">
        <v>1120</v>
      </c>
      <c r="I91" s="246" t="s">
        <v>1121</v>
      </c>
      <c r="J91" s="245" t="s">
        <v>1142</v>
      </c>
      <c r="K91" s="246" t="s">
        <v>1143</v>
      </c>
      <c r="L91" s="155"/>
      <c r="M91" s="155"/>
      <c r="N91" s="155"/>
      <c r="O91" s="155"/>
      <c r="P91" s="155"/>
      <c r="Q91" s="155"/>
      <c r="R91" s="155"/>
      <c r="S91" s="155"/>
      <c r="T91" s="155"/>
      <c r="U91" s="155"/>
      <c r="V91" s="155"/>
      <c r="W91" s="155"/>
      <c r="X91" s="155"/>
      <c r="Y91" s="155"/>
    </row>
    <row r="92" spans="1:25" s="157" customFormat="1">
      <c r="A92" s="155"/>
      <c r="B92" s="155"/>
      <c r="C92" s="145"/>
      <c r="D92" s="245" t="s">
        <v>1099</v>
      </c>
      <c r="E92" s="246" t="s">
        <v>1100</v>
      </c>
      <c r="F92" s="282" t="s">
        <v>1165</v>
      </c>
      <c r="G92" s="283" t="s">
        <v>1166</v>
      </c>
      <c r="H92" s="245" t="s">
        <v>1124</v>
      </c>
      <c r="I92" s="246" t="s">
        <v>1125</v>
      </c>
      <c r="J92" s="245" t="s">
        <v>1144</v>
      </c>
      <c r="K92" s="246" t="s">
        <v>1145</v>
      </c>
      <c r="L92" s="155"/>
      <c r="M92" s="155"/>
      <c r="N92" s="155"/>
      <c r="O92" s="155"/>
      <c r="P92" s="155"/>
      <c r="Q92" s="155"/>
      <c r="R92" s="155"/>
      <c r="S92" s="155"/>
      <c r="T92" s="155"/>
      <c r="U92" s="155"/>
      <c r="V92" s="155"/>
      <c r="W92" s="155"/>
      <c r="X92" s="155"/>
      <c r="Y92" s="155"/>
    </row>
    <row r="93" spans="1:25" s="157" customFormat="1">
      <c r="A93" s="155"/>
      <c r="B93" s="155"/>
      <c r="C93" s="145"/>
      <c r="D93" s="245" t="s">
        <v>1085</v>
      </c>
      <c r="E93" s="246" t="s">
        <v>1112</v>
      </c>
      <c r="F93" s="282" t="s">
        <v>1122</v>
      </c>
      <c r="G93" s="283" t="s">
        <v>1123</v>
      </c>
      <c r="H93" s="245" t="s">
        <v>1087</v>
      </c>
      <c r="I93" s="246" t="s">
        <v>1088</v>
      </c>
      <c r="J93" s="245" t="s">
        <v>1146</v>
      </c>
      <c r="K93" s="246" t="s">
        <v>1147</v>
      </c>
      <c r="L93" s="155"/>
      <c r="M93" s="155"/>
      <c r="N93" s="155"/>
      <c r="O93" s="155"/>
      <c r="P93" s="155"/>
      <c r="Q93" s="155"/>
      <c r="R93" s="155"/>
      <c r="S93" s="155"/>
      <c r="T93" s="155"/>
      <c r="U93" s="155"/>
      <c r="V93" s="155"/>
      <c r="W93" s="155"/>
      <c r="X93" s="155"/>
      <c r="Y93" s="155"/>
    </row>
    <row r="94" spans="1:25" s="157" customFormat="1" ht="16.2" thickBot="1">
      <c r="A94" s="155"/>
      <c r="B94" s="155"/>
      <c r="C94" s="145"/>
      <c r="D94" s="245" t="s">
        <v>1071</v>
      </c>
      <c r="E94" s="246" t="s">
        <v>1115</v>
      </c>
      <c r="F94" s="282" t="s">
        <v>1104</v>
      </c>
      <c r="G94" s="283" t="s">
        <v>1105</v>
      </c>
      <c r="H94" s="245" t="s">
        <v>1089</v>
      </c>
      <c r="I94" s="246" t="s">
        <v>1090</v>
      </c>
      <c r="J94" s="247" t="s">
        <v>1101</v>
      </c>
      <c r="K94" s="248" t="s">
        <v>1150</v>
      </c>
      <c r="L94" s="155"/>
      <c r="M94" s="155"/>
      <c r="N94" s="155"/>
      <c r="O94" s="155"/>
      <c r="P94" s="155"/>
      <c r="Q94" s="155"/>
      <c r="R94" s="155"/>
      <c r="S94" s="155"/>
      <c r="T94" s="155"/>
      <c r="U94" s="155"/>
      <c r="V94" s="155"/>
      <c r="W94" s="155"/>
      <c r="X94" s="155"/>
      <c r="Y94" s="155"/>
    </row>
    <row r="95" spans="1:25" s="157" customFormat="1">
      <c r="A95" s="155"/>
      <c r="B95" s="155"/>
      <c r="C95" s="145"/>
      <c r="D95" s="250" t="s">
        <v>1148</v>
      </c>
      <c r="E95" s="251" t="s">
        <v>1149</v>
      </c>
      <c r="F95" s="282" t="s">
        <v>1171</v>
      </c>
      <c r="G95" s="283" t="s">
        <v>1172</v>
      </c>
      <c r="H95" s="245" t="s">
        <v>1134</v>
      </c>
      <c r="I95" s="246" t="s">
        <v>1135</v>
      </c>
      <c r="J95" s="155"/>
      <c r="K95" s="155"/>
      <c r="L95" s="155"/>
      <c r="M95" s="155"/>
      <c r="N95" s="155"/>
      <c r="O95" s="155"/>
      <c r="P95" s="155"/>
      <c r="Q95" s="155"/>
      <c r="R95" s="155"/>
      <c r="S95" s="155"/>
      <c r="T95" s="155"/>
      <c r="U95" s="155"/>
      <c r="V95" s="155"/>
      <c r="W95" s="155"/>
      <c r="X95" s="155"/>
      <c r="Y95" s="155"/>
    </row>
    <row r="96" spans="1:25" s="157" customFormat="1">
      <c r="A96" s="155"/>
      <c r="B96" s="155"/>
      <c r="C96" s="145"/>
      <c r="D96" s="250" t="s">
        <v>1151</v>
      </c>
      <c r="E96" s="251" t="s">
        <v>1152</v>
      </c>
      <c r="F96" s="282" t="s">
        <v>1173</v>
      </c>
      <c r="G96" s="283" t="s">
        <v>1174</v>
      </c>
      <c r="H96" s="245" t="s">
        <v>1159</v>
      </c>
      <c r="I96" s="246" t="s">
        <v>1160</v>
      </c>
      <c r="J96" s="155"/>
      <c r="K96" s="155"/>
      <c r="L96" s="155"/>
      <c r="M96" s="155"/>
      <c r="N96" s="155"/>
      <c r="O96" s="155"/>
      <c r="P96" s="155"/>
      <c r="Q96" s="155"/>
      <c r="R96" s="155"/>
      <c r="S96" s="155"/>
      <c r="T96" s="155"/>
      <c r="U96" s="155"/>
      <c r="V96" s="155"/>
      <c r="W96" s="155"/>
      <c r="X96" s="155"/>
      <c r="Y96" s="155"/>
    </row>
    <row r="97" spans="1:25" s="157" customFormat="1">
      <c r="A97" s="155"/>
      <c r="B97" s="155"/>
      <c r="C97" s="145"/>
      <c r="D97" s="245" t="s">
        <v>1153</v>
      </c>
      <c r="E97" s="246" t="s">
        <v>1154</v>
      </c>
      <c r="F97" s="282" t="s">
        <v>1128</v>
      </c>
      <c r="G97" s="283" t="s">
        <v>1129</v>
      </c>
      <c r="H97" s="245" t="s">
        <v>1161</v>
      </c>
      <c r="I97" s="246" t="s">
        <v>1162</v>
      </c>
      <c r="J97" s="155"/>
      <c r="K97" s="155"/>
      <c r="L97" s="155"/>
      <c r="M97" s="155"/>
      <c r="N97" s="155"/>
      <c r="O97" s="155"/>
      <c r="P97" s="155"/>
      <c r="Q97" s="155"/>
      <c r="R97" s="155"/>
      <c r="S97" s="155"/>
      <c r="T97" s="155"/>
      <c r="U97" s="155"/>
      <c r="V97" s="155"/>
      <c r="W97" s="155"/>
      <c r="X97" s="155"/>
      <c r="Y97" s="155"/>
    </row>
    <row r="98" spans="1:25" s="157" customFormat="1">
      <c r="A98" s="155"/>
      <c r="B98" s="155"/>
      <c r="C98" s="145"/>
      <c r="D98" s="245" t="s">
        <v>1155</v>
      </c>
      <c r="E98" s="246" t="s">
        <v>1156</v>
      </c>
      <c r="F98" s="282" t="s">
        <v>1132</v>
      </c>
      <c r="G98" s="283" t="s">
        <v>1133</v>
      </c>
      <c r="H98" s="245" t="s">
        <v>1138</v>
      </c>
      <c r="I98" s="246" t="s">
        <v>1139</v>
      </c>
      <c r="J98" s="155"/>
      <c r="K98" s="155"/>
      <c r="L98" s="155"/>
      <c r="M98" s="155"/>
      <c r="N98" s="155"/>
      <c r="O98" s="155"/>
      <c r="P98" s="155"/>
      <c r="Q98" s="155"/>
      <c r="R98" s="155"/>
      <c r="S98" s="155"/>
      <c r="T98" s="155"/>
      <c r="U98" s="155"/>
      <c r="V98" s="155"/>
      <c r="W98" s="155"/>
      <c r="X98" s="155"/>
      <c r="Y98" s="155"/>
    </row>
    <row r="99" spans="1:25" s="157" customFormat="1">
      <c r="A99" s="155"/>
      <c r="B99" s="155"/>
      <c r="C99" s="145"/>
      <c r="D99" s="245" t="s">
        <v>1157</v>
      </c>
      <c r="E99" s="246" t="s">
        <v>1158</v>
      </c>
      <c r="F99" s="282" t="s">
        <v>1108</v>
      </c>
      <c r="G99" s="283" t="s">
        <v>1109</v>
      </c>
      <c r="H99" s="245" t="s">
        <v>1095</v>
      </c>
      <c r="I99" s="246" t="s">
        <v>1096</v>
      </c>
      <c r="J99" s="155"/>
      <c r="K99" s="155"/>
      <c r="L99" s="155"/>
      <c r="M99" s="155"/>
      <c r="N99" s="155"/>
      <c r="O99" s="155"/>
      <c r="P99" s="155"/>
      <c r="Q99" s="155"/>
      <c r="R99" s="155"/>
      <c r="S99" s="155"/>
      <c r="T99" s="155"/>
      <c r="U99" s="155"/>
      <c r="V99" s="155"/>
      <c r="W99" s="155"/>
      <c r="X99" s="155"/>
      <c r="Y99" s="155"/>
    </row>
    <row r="100" spans="1:25" s="157" customFormat="1">
      <c r="A100" s="155"/>
      <c r="B100" s="155"/>
      <c r="C100" s="145"/>
      <c r="D100" s="245" t="s">
        <v>1118</v>
      </c>
      <c r="E100" s="246" t="s">
        <v>1119</v>
      </c>
      <c r="F100" s="282" t="s">
        <v>1113</v>
      </c>
      <c r="G100" s="283" t="s">
        <v>1114</v>
      </c>
      <c r="H100" s="245" t="s">
        <v>1167</v>
      </c>
      <c r="I100" s="246" t="s">
        <v>1168</v>
      </c>
      <c r="J100" s="155"/>
      <c r="K100" s="155"/>
      <c r="L100" s="155"/>
      <c r="M100" s="155"/>
      <c r="N100" s="155"/>
      <c r="O100" s="155"/>
      <c r="P100" s="155"/>
      <c r="Q100" s="155"/>
      <c r="R100" s="155"/>
      <c r="S100" s="155"/>
      <c r="T100" s="155"/>
      <c r="U100" s="155"/>
      <c r="V100" s="155"/>
      <c r="W100" s="155"/>
      <c r="X100" s="155"/>
      <c r="Y100" s="155"/>
    </row>
    <row r="101" spans="1:25" s="157" customFormat="1">
      <c r="A101" s="155"/>
      <c r="B101" s="155"/>
      <c r="C101" s="145"/>
      <c r="D101" s="245" t="s">
        <v>1163</v>
      </c>
      <c r="E101" s="246" t="s">
        <v>1164</v>
      </c>
      <c r="F101" s="282" t="s">
        <v>1140</v>
      </c>
      <c r="G101" s="283" t="s">
        <v>1141</v>
      </c>
      <c r="H101" s="245" t="s">
        <v>1169</v>
      </c>
      <c r="I101" s="246" t="s">
        <v>1170</v>
      </c>
      <c r="J101" s="155"/>
      <c r="K101" s="155"/>
      <c r="L101" s="155"/>
      <c r="M101" s="155"/>
      <c r="N101" s="155"/>
      <c r="O101" s="155"/>
      <c r="P101" s="155"/>
      <c r="Q101" s="155"/>
      <c r="R101" s="155"/>
      <c r="S101" s="155"/>
      <c r="T101" s="155"/>
      <c r="U101" s="155"/>
      <c r="V101" s="155"/>
      <c r="W101" s="155"/>
      <c r="X101" s="155"/>
      <c r="Y101" s="155"/>
    </row>
    <row r="102" spans="1:25" s="157" customFormat="1">
      <c r="A102" s="155"/>
      <c r="B102" s="155"/>
      <c r="C102" s="145"/>
      <c r="D102" s="245" t="s">
        <v>1165</v>
      </c>
      <c r="E102" s="246" t="s">
        <v>1166</v>
      </c>
      <c r="F102" s="282" t="s">
        <v>1116</v>
      </c>
      <c r="G102" s="283" t="s">
        <v>1117</v>
      </c>
      <c r="H102" s="245" t="s">
        <v>1142</v>
      </c>
      <c r="I102" s="246" t="s">
        <v>1143</v>
      </c>
      <c r="J102" s="155"/>
      <c r="K102" s="155"/>
      <c r="L102" s="155"/>
      <c r="M102" s="155"/>
      <c r="N102" s="155"/>
      <c r="O102" s="155"/>
      <c r="P102" s="155"/>
      <c r="Q102" s="155"/>
      <c r="R102" s="155"/>
      <c r="S102" s="155"/>
      <c r="T102" s="155"/>
      <c r="U102" s="155"/>
      <c r="V102" s="155"/>
      <c r="W102" s="155"/>
      <c r="X102" s="155"/>
      <c r="Y102" s="155"/>
    </row>
    <row r="103" spans="1:25" s="157" customFormat="1">
      <c r="A103" s="155"/>
      <c r="B103" s="155"/>
      <c r="C103" s="145"/>
      <c r="D103" s="245" t="s">
        <v>1122</v>
      </c>
      <c r="E103" s="246" t="s">
        <v>1123</v>
      </c>
      <c r="F103" s="282" t="s">
        <v>1120</v>
      </c>
      <c r="G103" s="283" t="s">
        <v>1121</v>
      </c>
      <c r="H103" s="245" t="s">
        <v>1144</v>
      </c>
      <c r="I103" s="246" t="s">
        <v>1145</v>
      </c>
      <c r="J103" s="155"/>
      <c r="K103" s="155"/>
      <c r="L103" s="155"/>
      <c r="M103" s="155"/>
      <c r="N103" s="155"/>
      <c r="O103" s="155"/>
      <c r="P103" s="155"/>
      <c r="Q103" s="155"/>
      <c r="R103" s="155"/>
      <c r="S103" s="155"/>
      <c r="T103" s="155"/>
      <c r="U103" s="155"/>
      <c r="V103" s="155"/>
      <c r="W103" s="155"/>
      <c r="X103" s="155"/>
      <c r="Y103" s="155"/>
    </row>
    <row r="104" spans="1:25" s="157" customFormat="1">
      <c r="A104" s="155"/>
      <c r="B104" s="155"/>
      <c r="C104" s="145"/>
      <c r="D104" s="245" t="s">
        <v>1104</v>
      </c>
      <c r="E104" s="246" t="s">
        <v>1105</v>
      </c>
      <c r="F104" s="282" t="s">
        <v>1124</v>
      </c>
      <c r="G104" s="283" t="s">
        <v>1125</v>
      </c>
      <c r="H104" s="245" t="s">
        <v>1146</v>
      </c>
      <c r="I104" s="246" t="s">
        <v>1147</v>
      </c>
      <c r="J104" s="155"/>
      <c r="K104" s="155"/>
      <c r="L104" s="155"/>
      <c r="M104" s="155"/>
      <c r="N104" s="155"/>
      <c r="O104" s="155"/>
      <c r="P104" s="155"/>
      <c r="Q104" s="155"/>
      <c r="R104" s="155"/>
      <c r="S104" s="155"/>
      <c r="T104" s="155"/>
      <c r="U104" s="155"/>
      <c r="V104" s="155"/>
      <c r="W104" s="155"/>
      <c r="X104" s="155"/>
      <c r="Y104" s="155"/>
    </row>
    <row r="105" spans="1:25" s="157" customFormat="1" ht="16.2" thickBot="1">
      <c r="A105" s="155"/>
      <c r="B105" s="155"/>
      <c r="C105" s="145"/>
      <c r="D105" s="245" t="s">
        <v>1171</v>
      </c>
      <c r="E105" s="246" t="s">
        <v>1172</v>
      </c>
      <c r="F105" s="282" t="s">
        <v>1087</v>
      </c>
      <c r="G105" s="283" t="s">
        <v>1088</v>
      </c>
      <c r="H105" s="247" t="s">
        <v>1101</v>
      </c>
      <c r="I105" s="248" t="s">
        <v>1150</v>
      </c>
      <c r="J105" s="155"/>
      <c r="K105" s="155"/>
      <c r="L105" s="155"/>
      <c r="M105" s="155"/>
      <c r="N105" s="155"/>
      <c r="O105" s="155"/>
      <c r="P105" s="155"/>
      <c r="Q105" s="155"/>
      <c r="R105" s="155"/>
      <c r="S105" s="155"/>
      <c r="T105" s="145"/>
      <c r="U105" s="155"/>
      <c r="V105" s="155"/>
      <c r="W105" s="155"/>
      <c r="X105" s="155"/>
      <c r="Y105" s="155"/>
    </row>
    <row r="106" spans="1:25" s="157" customFormat="1">
      <c r="A106" s="155"/>
      <c r="B106" s="155"/>
      <c r="C106" s="145"/>
      <c r="D106" s="245" t="s">
        <v>1173</v>
      </c>
      <c r="E106" s="246" t="s">
        <v>1174</v>
      </c>
      <c r="F106" s="282" t="s">
        <v>1089</v>
      </c>
      <c r="G106" s="283" t="s">
        <v>1090</v>
      </c>
      <c r="H106" s="155"/>
      <c r="I106" s="155"/>
      <c r="J106" s="155"/>
      <c r="K106" s="155"/>
      <c r="L106" s="155"/>
      <c r="M106" s="155"/>
      <c r="N106" s="155"/>
      <c r="O106" s="155"/>
      <c r="P106" s="155"/>
      <c r="Q106" s="155"/>
      <c r="R106" s="155"/>
      <c r="S106" s="155"/>
      <c r="T106" s="145"/>
      <c r="U106" s="155"/>
      <c r="V106" s="155"/>
      <c r="W106" s="155"/>
      <c r="X106" s="155"/>
      <c r="Y106" s="155"/>
    </row>
    <row r="107" spans="1:25" s="157" customFormat="1">
      <c r="A107" s="155"/>
      <c r="B107" s="155"/>
      <c r="C107" s="145"/>
      <c r="D107" s="245" t="s">
        <v>1128</v>
      </c>
      <c r="E107" s="246" t="s">
        <v>1129</v>
      </c>
      <c r="F107" s="282" t="s">
        <v>1175</v>
      </c>
      <c r="G107" s="283" t="s">
        <v>1176</v>
      </c>
      <c r="H107" s="155"/>
      <c r="I107" s="155"/>
      <c r="J107" s="155"/>
      <c r="K107" s="155"/>
      <c r="L107" s="155"/>
      <c r="M107" s="155"/>
      <c r="N107" s="155"/>
      <c r="O107" s="155"/>
      <c r="P107" s="155"/>
      <c r="Q107" s="155"/>
      <c r="R107" s="155"/>
      <c r="S107" s="155"/>
      <c r="T107" s="145"/>
      <c r="U107" s="155"/>
      <c r="V107" s="155"/>
      <c r="W107" s="155"/>
      <c r="X107" s="155"/>
      <c r="Y107" s="155"/>
    </row>
    <row r="108" spans="1:25" s="157" customFormat="1">
      <c r="A108" s="155"/>
      <c r="B108" s="155"/>
      <c r="C108" s="145"/>
      <c r="D108" s="245" t="s">
        <v>1132</v>
      </c>
      <c r="E108" s="246" t="s">
        <v>1133</v>
      </c>
      <c r="F108" s="282" t="s">
        <v>1177</v>
      </c>
      <c r="G108" s="283" t="s">
        <v>1178</v>
      </c>
      <c r="H108" s="155"/>
      <c r="I108" s="155"/>
      <c r="J108" s="155"/>
      <c r="K108" s="155"/>
      <c r="L108" s="155"/>
      <c r="M108" s="155"/>
      <c r="N108" s="155"/>
      <c r="O108" s="155"/>
      <c r="P108" s="155"/>
      <c r="Q108" s="155"/>
      <c r="R108" s="155"/>
      <c r="S108" s="155"/>
      <c r="T108" s="145"/>
      <c r="U108" s="155"/>
      <c r="V108" s="155"/>
      <c r="W108" s="155"/>
      <c r="X108" s="155"/>
      <c r="Y108" s="155"/>
    </row>
    <row r="109" spans="1:25" s="157" customFormat="1">
      <c r="A109" s="155"/>
      <c r="B109" s="155"/>
      <c r="C109" s="145"/>
      <c r="D109" s="245" t="s">
        <v>1108</v>
      </c>
      <c r="E109" s="246" t="s">
        <v>1109</v>
      </c>
      <c r="F109" s="282" t="s">
        <v>1179</v>
      </c>
      <c r="G109" s="283" t="s">
        <v>1180</v>
      </c>
      <c r="H109" s="155"/>
      <c r="I109" s="155"/>
      <c r="J109" s="155"/>
      <c r="K109" s="155"/>
      <c r="L109" s="155"/>
      <c r="M109" s="155"/>
      <c r="N109" s="155"/>
      <c r="O109" s="155"/>
      <c r="P109" s="155"/>
      <c r="Q109" s="155"/>
      <c r="R109" s="155"/>
      <c r="S109" s="155"/>
      <c r="T109" s="145"/>
      <c r="U109" s="155"/>
      <c r="V109" s="155"/>
      <c r="W109" s="155"/>
      <c r="X109" s="155"/>
      <c r="Y109" s="155"/>
    </row>
    <row r="110" spans="1:25" s="157" customFormat="1">
      <c r="A110" s="155"/>
      <c r="B110" s="155"/>
      <c r="C110" s="145"/>
      <c r="D110" s="245" t="s">
        <v>1113</v>
      </c>
      <c r="E110" s="246" t="s">
        <v>1114</v>
      </c>
      <c r="F110" s="282" t="s">
        <v>1134</v>
      </c>
      <c r="G110" s="283" t="s">
        <v>1135</v>
      </c>
      <c r="H110" s="155"/>
      <c r="I110" s="155"/>
      <c r="J110" s="155"/>
      <c r="K110" s="155"/>
      <c r="L110" s="155"/>
      <c r="M110" s="155"/>
      <c r="N110" s="155"/>
      <c r="O110" s="155"/>
      <c r="P110" s="155"/>
      <c r="Q110" s="155"/>
      <c r="R110" s="155"/>
      <c r="S110" s="155"/>
      <c r="T110" s="145"/>
      <c r="U110" s="155"/>
      <c r="V110" s="155"/>
      <c r="W110" s="155"/>
      <c r="X110" s="155"/>
      <c r="Y110" s="155"/>
    </row>
    <row r="111" spans="1:25" s="157" customFormat="1">
      <c r="A111" s="155"/>
      <c r="B111" s="155"/>
      <c r="C111" s="145"/>
      <c r="D111" s="245" t="s">
        <v>1140</v>
      </c>
      <c r="E111" s="246" t="s">
        <v>1141</v>
      </c>
      <c r="F111" s="245" t="s">
        <v>1159</v>
      </c>
      <c r="G111" s="246" t="s">
        <v>1160</v>
      </c>
      <c r="H111" s="155"/>
      <c r="I111" s="155"/>
      <c r="J111" s="155"/>
      <c r="K111" s="155"/>
      <c r="L111" s="155"/>
      <c r="M111" s="155"/>
      <c r="N111" s="155"/>
      <c r="O111" s="155"/>
      <c r="P111" s="155"/>
      <c r="Q111" s="155"/>
      <c r="R111" s="155"/>
      <c r="S111" s="155"/>
      <c r="T111" s="145"/>
      <c r="U111" s="155"/>
      <c r="V111" s="155"/>
      <c r="W111" s="155"/>
      <c r="X111" s="155"/>
      <c r="Y111" s="155"/>
    </row>
    <row r="112" spans="1:25" s="157" customFormat="1">
      <c r="A112" s="155"/>
      <c r="B112" s="155"/>
      <c r="C112" s="145"/>
      <c r="D112" s="245" t="s">
        <v>1116</v>
      </c>
      <c r="E112" s="246" t="s">
        <v>1117</v>
      </c>
      <c r="F112" s="245" t="s">
        <v>1161</v>
      </c>
      <c r="G112" s="246" t="s">
        <v>1162</v>
      </c>
      <c r="H112" s="155"/>
      <c r="I112" s="155"/>
      <c r="J112" s="155"/>
      <c r="K112" s="155"/>
      <c r="L112" s="155"/>
      <c r="M112" s="155"/>
      <c r="N112" s="155"/>
      <c r="O112" s="155"/>
      <c r="P112" s="155"/>
      <c r="Q112" s="155"/>
      <c r="R112" s="155"/>
      <c r="S112" s="155"/>
      <c r="T112" s="145"/>
      <c r="U112" s="155"/>
      <c r="V112" s="155"/>
      <c r="W112" s="155"/>
      <c r="X112" s="155"/>
      <c r="Y112" s="155"/>
    </row>
    <row r="113" spans="1:25" s="157" customFormat="1">
      <c r="A113" s="155"/>
      <c r="B113" s="155"/>
      <c r="C113" s="145"/>
      <c r="D113" s="245" t="s">
        <v>1120</v>
      </c>
      <c r="E113" s="246" t="s">
        <v>1121</v>
      </c>
      <c r="F113" s="245" t="s">
        <v>1138</v>
      </c>
      <c r="G113" s="246" t="s">
        <v>1139</v>
      </c>
      <c r="H113" s="155"/>
      <c r="I113" s="155"/>
      <c r="J113" s="155"/>
      <c r="K113" s="155"/>
      <c r="L113" s="155"/>
      <c r="M113" s="155"/>
      <c r="N113" s="155"/>
      <c r="O113" s="155"/>
      <c r="P113" s="155"/>
      <c r="Q113" s="155"/>
      <c r="R113" s="155"/>
      <c r="S113" s="155"/>
      <c r="T113" s="145"/>
      <c r="U113" s="155"/>
      <c r="V113" s="155"/>
      <c r="W113" s="155"/>
      <c r="X113" s="155"/>
      <c r="Y113" s="155"/>
    </row>
    <row r="114" spans="1:25" s="157" customFormat="1">
      <c r="A114" s="155"/>
      <c r="B114" s="155"/>
      <c r="C114" s="145"/>
      <c r="D114" s="245" t="s">
        <v>1124</v>
      </c>
      <c r="E114" s="246" t="s">
        <v>1125</v>
      </c>
      <c r="F114" s="245" t="s">
        <v>1095</v>
      </c>
      <c r="G114" s="246" t="s">
        <v>1096</v>
      </c>
      <c r="H114" s="155"/>
      <c r="I114" s="155"/>
      <c r="J114" s="155"/>
      <c r="K114" s="155"/>
      <c r="L114" s="155"/>
      <c r="M114" s="155"/>
      <c r="N114" s="155"/>
      <c r="O114" s="155"/>
      <c r="P114" s="155"/>
      <c r="Q114" s="155"/>
      <c r="R114" s="155"/>
      <c r="S114" s="155"/>
      <c r="T114" s="145"/>
      <c r="U114" s="155"/>
      <c r="V114" s="155"/>
      <c r="W114" s="155"/>
      <c r="X114" s="155"/>
      <c r="Y114" s="155"/>
    </row>
    <row r="115" spans="1:25" s="157" customFormat="1">
      <c r="A115" s="155"/>
      <c r="B115" s="155"/>
      <c r="C115" s="145"/>
      <c r="D115" s="245" t="s">
        <v>1087</v>
      </c>
      <c r="E115" s="246" t="s">
        <v>1088</v>
      </c>
      <c r="F115" s="245" t="s">
        <v>1167</v>
      </c>
      <c r="G115" s="246" t="s">
        <v>1168</v>
      </c>
      <c r="H115" s="155"/>
      <c r="I115" s="155"/>
      <c r="J115" s="155"/>
      <c r="K115" s="155"/>
      <c r="L115" s="155"/>
      <c r="M115" s="155"/>
      <c r="N115" s="155"/>
      <c r="O115" s="155"/>
      <c r="P115" s="155"/>
      <c r="Q115" s="155"/>
      <c r="R115" s="155"/>
      <c r="S115" s="155"/>
      <c r="T115" s="145"/>
      <c r="U115" s="155"/>
      <c r="V115" s="155"/>
      <c r="W115" s="155"/>
      <c r="X115" s="155"/>
      <c r="Y115" s="155"/>
    </row>
    <row r="116" spans="1:25" s="157" customFormat="1">
      <c r="A116" s="155"/>
      <c r="B116" s="155"/>
      <c r="C116" s="145"/>
      <c r="D116" s="245" t="s">
        <v>1089</v>
      </c>
      <c r="E116" s="246" t="s">
        <v>1090</v>
      </c>
      <c r="F116" s="245" t="s">
        <v>1169</v>
      </c>
      <c r="G116" s="246" t="s">
        <v>1170</v>
      </c>
      <c r="H116" s="155"/>
      <c r="I116" s="155"/>
      <c r="J116" s="155"/>
      <c r="K116" s="155"/>
      <c r="L116" s="155"/>
      <c r="M116" s="155"/>
      <c r="N116" s="155"/>
      <c r="O116" s="155"/>
      <c r="P116" s="155"/>
      <c r="Q116" s="155"/>
      <c r="R116" s="155"/>
      <c r="S116" s="155"/>
      <c r="T116" s="145"/>
      <c r="U116" s="155"/>
      <c r="V116" s="155"/>
      <c r="W116" s="155"/>
      <c r="X116" s="155"/>
      <c r="Y116" s="155"/>
    </row>
    <row r="117" spans="1:25" s="157" customFormat="1">
      <c r="A117" s="155"/>
      <c r="B117" s="155"/>
      <c r="C117" s="145"/>
      <c r="D117" s="245" t="s">
        <v>1175</v>
      </c>
      <c r="E117" s="246" t="s">
        <v>1176</v>
      </c>
      <c r="F117" s="245" t="s">
        <v>1142</v>
      </c>
      <c r="G117" s="246" t="s">
        <v>1143</v>
      </c>
      <c r="H117" s="155"/>
      <c r="I117" s="155"/>
      <c r="J117" s="155"/>
      <c r="K117" s="155"/>
      <c r="L117" s="155"/>
      <c r="M117" s="155"/>
      <c r="N117" s="155"/>
      <c r="O117" s="155"/>
      <c r="P117" s="155"/>
      <c r="Q117" s="155"/>
      <c r="R117" s="155"/>
      <c r="S117" s="155"/>
      <c r="T117" s="145"/>
      <c r="U117" s="155"/>
      <c r="V117" s="155"/>
      <c r="W117" s="155"/>
      <c r="X117" s="155"/>
      <c r="Y117" s="155"/>
    </row>
    <row r="118" spans="1:25" s="157" customFormat="1">
      <c r="A118" s="155"/>
      <c r="B118" s="155"/>
      <c r="C118" s="145"/>
      <c r="D118" s="245" t="s">
        <v>1177</v>
      </c>
      <c r="E118" s="246" t="s">
        <v>1178</v>
      </c>
      <c r="F118" s="245" t="s">
        <v>1144</v>
      </c>
      <c r="G118" s="246" t="s">
        <v>1145</v>
      </c>
      <c r="H118" s="155"/>
      <c r="I118" s="155"/>
      <c r="J118" s="155"/>
      <c r="K118" s="155"/>
      <c r="L118" s="155"/>
      <c r="M118" s="155"/>
      <c r="N118" s="155"/>
      <c r="O118" s="155"/>
      <c r="P118" s="155"/>
      <c r="Q118" s="155"/>
      <c r="R118" s="155"/>
      <c r="S118" s="155"/>
      <c r="T118" s="145"/>
      <c r="U118" s="155"/>
      <c r="V118" s="155"/>
      <c r="W118" s="155"/>
      <c r="X118" s="155"/>
      <c r="Y118" s="155"/>
    </row>
    <row r="119" spans="1:25" s="157" customFormat="1">
      <c r="A119" s="155"/>
      <c r="B119" s="155"/>
      <c r="C119" s="145"/>
      <c r="D119" s="245" t="s">
        <v>1179</v>
      </c>
      <c r="E119" s="246" t="s">
        <v>1180</v>
      </c>
      <c r="F119" s="245" t="s">
        <v>1146</v>
      </c>
      <c r="G119" s="246" t="s">
        <v>1147</v>
      </c>
      <c r="H119" s="155"/>
      <c r="I119" s="155"/>
      <c r="J119" s="155"/>
      <c r="K119" s="155"/>
      <c r="L119" s="155"/>
      <c r="M119" s="155"/>
      <c r="N119" s="155"/>
      <c r="O119" s="155"/>
      <c r="P119" s="155"/>
      <c r="Q119" s="155"/>
      <c r="R119" s="155"/>
      <c r="S119" s="155"/>
      <c r="T119" s="145"/>
      <c r="U119" s="155"/>
      <c r="V119" s="155"/>
      <c r="W119" s="155"/>
      <c r="X119" s="155"/>
      <c r="Y119" s="155"/>
    </row>
    <row r="120" spans="1:25" s="157" customFormat="1" ht="16.2" thickBot="1">
      <c r="A120" s="155"/>
      <c r="B120" s="155"/>
      <c r="C120" s="145"/>
      <c r="D120" s="245" t="s">
        <v>1134</v>
      </c>
      <c r="E120" s="246" t="s">
        <v>1135</v>
      </c>
      <c r="F120" s="247" t="s">
        <v>1101</v>
      </c>
      <c r="G120" s="248" t="s">
        <v>1150</v>
      </c>
      <c r="H120" s="155"/>
      <c r="I120" s="155"/>
      <c r="J120" s="155"/>
      <c r="K120" s="155"/>
      <c r="L120" s="155"/>
      <c r="M120" s="155"/>
      <c r="N120" s="155"/>
      <c r="O120" s="155"/>
      <c r="P120" s="155"/>
      <c r="Q120" s="155"/>
      <c r="R120" s="155"/>
      <c r="S120" s="155"/>
      <c r="T120" s="145"/>
      <c r="U120" s="155"/>
      <c r="V120" s="155"/>
      <c r="W120" s="155"/>
      <c r="X120" s="155"/>
      <c r="Y120" s="155"/>
    </row>
    <row r="121" spans="1:25" s="157" customFormat="1">
      <c r="A121" s="155"/>
      <c r="B121" s="155"/>
      <c r="C121" s="145"/>
      <c r="D121" s="245" t="s">
        <v>1181</v>
      </c>
      <c r="E121" s="246" t="s">
        <v>1182</v>
      </c>
      <c r="F121" s="155"/>
      <c r="G121" s="155"/>
      <c r="H121" s="155"/>
      <c r="I121" s="155"/>
      <c r="J121" s="155"/>
      <c r="K121" s="155"/>
      <c r="L121" s="155"/>
      <c r="M121" s="155"/>
      <c r="N121" s="155"/>
      <c r="O121" s="155"/>
      <c r="P121" s="155"/>
      <c r="Q121" s="155"/>
      <c r="R121" s="155"/>
      <c r="S121" s="155"/>
      <c r="T121" s="145"/>
      <c r="U121" s="155"/>
      <c r="V121" s="155"/>
      <c r="W121" s="155"/>
      <c r="X121" s="155"/>
      <c r="Y121" s="155"/>
    </row>
    <row r="122" spans="1:25" s="157" customFormat="1">
      <c r="A122" s="155"/>
      <c r="B122" s="155"/>
      <c r="C122" s="145"/>
      <c r="D122" s="245" t="s">
        <v>1159</v>
      </c>
      <c r="E122" s="246" t="s">
        <v>1160</v>
      </c>
      <c r="F122" s="155"/>
      <c r="G122" s="155"/>
      <c r="H122" s="155"/>
      <c r="I122" s="155"/>
      <c r="J122" s="155"/>
      <c r="K122" s="155"/>
      <c r="L122" s="155"/>
      <c r="M122" s="155"/>
      <c r="N122" s="155"/>
      <c r="O122" s="155"/>
      <c r="P122" s="155"/>
      <c r="Q122" s="155"/>
      <c r="R122" s="145"/>
      <c r="S122" s="155"/>
      <c r="T122" s="145"/>
      <c r="U122" s="155"/>
      <c r="V122" s="155"/>
      <c r="W122" s="155"/>
      <c r="X122" s="155"/>
      <c r="Y122" s="155"/>
    </row>
    <row r="123" spans="1:25" s="157" customFormat="1">
      <c r="A123" s="155"/>
      <c r="B123" s="155"/>
      <c r="C123" s="145"/>
      <c r="D123" s="245" t="s">
        <v>1161</v>
      </c>
      <c r="E123" s="246" t="s">
        <v>1162</v>
      </c>
      <c r="F123" s="155"/>
      <c r="G123" s="155"/>
      <c r="H123" s="155"/>
      <c r="I123" s="155"/>
      <c r="J123" s="155"/>
      <c r="K123" s="155"/>
      <c r="L123" s="155"/>
      <c r="M123" s="155"/>
      <c r="N123" s="155"/>
      <c r="O123" s="155"/>
      <c r="P123" s="155"/>
      <c r="Q123" s="155"/>
      <c r="R123" s="145"/>
      <c r="S123" s="155"/>
      <c r="T123" s="145"/>
      <c r="U123" s="155"/>
      <c r="V123" s="155"/>
      <c r="W123" s="155"/>
      <c r="X123" s="155"/>
      <c r="Y123" s="155"/>
    </row>
    <row r="124" spans="1:25" s="157" customFormat="1">
      <c r="A124" s="155"/>
      <c r="B124" s="155"/>
      <c r="C124" s="145"/>
      <c r="D124" s="245" t="s">
        <v>1138</v>
      </c>
      <c r="E124" s="246" t="s">
        <v>1139</v>
      </c>
      <c r="F124" s="155"/>
      <c r="G124" s="155"/>
      <c r="H124" s="155"/>
      <c r="I124" s="155"/>
      <c r="J124" s="155"/>
      <c r="K124" s="155"/>
      <c r="L124" s="155"/>
      <c r="M124" s="155"/>
      <c r="N124" s="155"/>
      <c r="O124" s="155"/>
      <c r="P124" s="155"/>
      <c r="Q124" s="155"/>
      <c r="R124" s="145"/>
      <c r="S124" s="155"/>
      <c r="T124" s="145"/>
      <c r="U124" s="155"/>
      <c r="V124" s="155"/>
      <c r="W124" s="155"/>
      <c r="X124" s="155"/>
      <c r="Y124" s="155"/>
    </row>
    <row r="125" spans="1:25" s="157" customFormat="1">
      <c r="A125" s="155"/>
      <c r="B125" s="155"/>
      <c r="C125" s="145"/>
      <c r="D125" s="245" t="s">
        <v>1095</v>
      </c>
      <c r="E125" s="246" t="s">
        <v>1096</v>
      </c>
      <c r="F125" s="155"/>
      <c r="G125" s="155"/>
      <c r="H125" s="155"/>
      <c r="I125" s="155"/>
      <c r="J125" s="155"/>
      <c r="K125" s="155"/>
      <c r="L125" s="155"/>
      <c r="M125" s="155"/>
      <c r="N125" s="155"/>
      <c r="O125" s="155"/>
      <c r="P125" s="155"/>
      <c r="Q125" s="155"/>
      <c r="R125" s="145"/>
      <c r="S125" s="155"/>
      <c r="T125" s="145"/>
      <c r="U125" s="155"/>
      <c r="V125" s="155"/>
      <c r="W125" s="155"/>
      <c r="X125" s="155"/>
      <c r="Y125" s="155"/>
    </row>
    <row r="126" spans="1:25" s="157" customFormat="1">
      <c r="A126" s="155"/>
      <c r="B126" s="155"/>
      <c r="C126" s="145"/>
      <c r="D126" s="245" t="s">
        <v>1167</v>
      </c>
      <c r="E126" s="246" t="s">
        <v>1168</v>
      </c>
      <c r="F126" s="155"/>
      <c r="G126" s="155"/>
      <c r="H126" s="155"/>
      <c r="I126" s="155"/>
      <c r="J126" s="155"/>
      <c r="K126" s="155"/>
      <c r="L126" s="155"/>
      <c r="M126" s="155"/>
      <c r="N126" s="155"/>
      <c r="O126" s="155"/>
      <c r="P126" s="155"/>
      <c r="Q126" s="155"/>
      <c r="R126" s="145"/>
      <c r="S126" s="155"/>
      <c r="T126" s="145"/>
      <c r="U126" s="155"/>
      <c r="V126" s="155"/>
      <c r="W126" s="155"/>
      <c r="X126" s="155"/>
      <c r="Y126" s="155"/>
    </row>
    <row r="127" spans="1:25" s="157" customFormat="1">
      <c r="A127" s="155"/>
      <c r="B127" s="155"/>
      <c r="C127" s="145"/>
      <c r="D127" s="245" t="s">
        <v>1169</v>
      </c>
      <c r="E127" s="246" t="s">
        <v>1170</v>
      </c>
      <c r="F127" s="155"/>
      <c r="G127" s="155"/>
      <c r="H127" s="155"/>
      <c r="I127" s="155"/>
      <c r="J127" s="155"/>
      <c r="K127" s="155"/>
      <c r="L127" s="155"/>
      <c r="M127" s="155"/>
      <c r="N127" s="155"/>
      <c r="O127" s="155"/>
      <c r="P127" s="155"/>
      <c r="Q127" s="155"/>
      <c r="R127" s="145"/>
      <c r="S127" s="155"/>
      <c r="T127" s="145"/>
      <c r="U127" s="155"/>
      <c r="V127" s="155"/>
      <c r="W127" s="155"/>
      <c r="X127" s="155"/>
      <c r="Y127" s="155"/>
    </row>
    <row r="128" spans="1:25" s="157" customFormat="1">
      <c r="A128" s="155"/>
      <c r="B128" s="155"/>
      <c r="C128" s="145"/>
      <c r="D128" s="245" t="s">
        <v>1142</v>
      </c>
      <c r="E128" s="246" t="s">
        <v>1143</v>
      </c>
      <c r="F128" s="155"/>
      <c r="G128" s="155"/>
      <c r="H128" s="155"/>
      <c r="I128" s="155"/>
      <c r="J128" s="155"/>
      <c r="K128" s="155"/>
      <c r="L128" s="155"/>
      <c r="M128" s="155"/>
      <c r="N128" s="155"/>
      <c r="O128" s="155"/>
      <c r="P128" s="155"/>
      <c r="Q128" s="155"/>
      <c r="R128" s="145"/>
      <c r="S128" s="155"/>
      <c r="T128" s="145"/>
      <c r="U128" s="155"/>
      <c r="V128" s="155"/>
      <c r="W128" s="155"/>
      <c r="X128" s="155"/>
      <c r="Y128" s="155"/>
    </row>
    <row r="129" spans="1:25" s="157" customFormat="1">
      <c r="A129" s="155"/>
      <c r="B129" s="155"/>
      <c r="C129" s="145"/>
      <c r="D129" s="245" t="s">
        <v>1144</v>
      </c>
      <c r="E129" s="246" t="s">
        <v>1145</v>
      </c>
      <c r="F129" s="155"/>
      <c r="G129" s="155"/>
      <c r="H129" s="155"/>
      <c r="I129" s="155"/>
      <c r="J129" s="155"/>
      <c r="K129" s="155"/>
      <c r="L129" s="155"/>
      <c r="M129" s="155"/>
      <c r="N129" s="155"/>
      <c r="O129" s="155"/>
      <c r="P129" s="155"/>
      <c r="Q129" s="155"/>
      <c r="R129" s="145"/>
      <c r="S129" s="155"/>
      <c r="T129" s="145"/>
      <c r="U129" s="155"/>
      <c r="V129" s="155"/>
      <c r="W129" s="155"/>
      <c r="X129" s="155"/>
      <c r="Y129" s="155"/>
    </row>
    <row r="130" spans="1:25" s="157" customFormat="1">
      <c r="A130" s="155"/>
      <c r="B130" s="155"/>
      <c r="C130" s="145"/>
      <c r="D130" s="245" t="s">
        <v>1146</v>
      </c>
      <c r="E130" s="246" t="s">
        <v>1147</v>
      </c>
      <c r="F130" s="155"/>
      <c r="G130" s="155"/>
      <c r="H130" s="155"/>
      <c r="I130" s="155"/>
      <c r="J130" s="155"/>
      <c r="K130" s="155"/>
      <c r="L130" s="155"/>
      <c r="M130" s="155"/>
      <c r="N130" s="155"/>
      <c r="O130" s="155"/>
      <c r="P130" s="155"/>
      <c r="Q130" s="155"/>
      <c r="R130" s="145"/>
      <c r="S130" s="155"/>
      <c r="T130" s="155"/>
      <c r="U130" s="155"/>
      <c r="V130" s="155"/>
      <c r="W130" s="155"/>
      <c r="X130" s="155"/>
      <c r="Y130" s="155"/>
    </row>
    <row r="131" spans="1:25" s="157" customFormat="1">
      <c r="A131" s="155"/>
      <c r="B131" s="155"/>
      <c r="C131" s="145"/>
      <c r="D131" s="245" t="s">
        <v>1101</v>
      </c>
      <c r="E131" s="246" t="s">
        <v>1150</v>
      </c>
      <c r="F131" s="155"/>
      <c r="G131" s="155"/>
      <c r="H131" s="155"/>
      <c r="I131" s="155"/>
      <c r="J131" s="155"/>
      <c r="K131" s="155"/>
      <c r="L131" s="155"/>
      <c r="M131" s="155"/>
      <c r="N131" s="155"/>
      <c r="O131" s="155"/>
      <c r="P131" s="155"/>
      <c r="Q131" s="155"/>
      <c r="R131" s="145"/>
      <c r="S131" s="155"/>
      <c r="T131" s="155"/>
      <c r="U131" s="155"/>
      <c r="V131" s="155"/>
      <c r="W131" s="155"/>
      <c r="X131" s="155"/>
      <c r="Y131" s="155"/>
    </row>
    <row r="132" spans="1:25" s="157" customFormat="1">
      <c r="A132" s="155"/>
      <c r="B132" s="155"/>
      <c r="C132" s="145"/>
      <c r="D132" s="250" t="s">
        <v>1183</v>
      </c>
      <c r="E132" s="251" t="s">
        <v>1184</v>
      </c>
      <c r="F132" s="155"/>
      <c r="G132" s="155"/>
      <c r="H132" s="155"/>
      <c r="I132" s="155"/>
      <c r="J132" s="155"/>
      <c r="K132" s="155"/>
      <c r="L132" s="155"/>
      <c r="M132" s="155"/>
      <c r="N132" s="155"/>
      <c r="O132" s="155"/>
      <c r="P132" s="155"/>
      <c r="Q132" s="155"/>
      <c r="R132" s="145"/>
      <c r="S132" s="155"/>
      <c r="T132" s="155"/>
      <c r="U132" s="155"/>
      <c r="V132" s="155"/>
      <c r="W132" s="155"/>
      <c r="X132" s="155"/>
      <c r="Y132" s="155"/>
    </row>
    <row r="133" spans="1:25" s="157" customFormat="1" ht="16.2" thickBot="1">
      <c r="A133" s="155"/>
      <c r="B133" s="155"/>
      <c r="C133" s="145"/>
      <c r="D133" s="252" t="s">
        <v>1185</v>
      </c>
      <c r="E133" s="253" t="s">
        <v>1186</v>
      </c>
      <c r="F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45"/>
      <c r="S133" s="155"/>
      <c r="T133" s="155"/>
      <c r="U133" s="155"/>
      <c r="V133" s="155"/>
      <c r="W133" s="155"/>
      <c r="X133" s="155"/>
      <c r="Y133" s="155"/>
    </row>
    <row r="134" spans="1:25" s="157" customFormat="1">
      <c r="A134" s="155"/>
      <c r="B134" s="155"/>
      <c r="C134" s="145"/>
      <c r="D134" s="155"/>
      <c r="E134" s="155"/>
      <c r="F134" s="155"/>
      <c r="G134" s="155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145"/>
      <c r="S134" s="155"/>
      <c r="T134" s="155"/>
      <c r="U134" s="155"/>
      <c r="V134" s="155"/>
      <c r="W134" s="155"/>
      <c r="X134" s="155"/>
      <c r="Y134" s="155"/>
    </row>
    <row r="135" spans="1:25" s="157" customFormat="1">
      <c r="A135" s="155"/>
      <c r="B135" s="155"/>
      <c r="C135" s="145"/>
      <c r="D135" s="155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R135" s="145"/>
      <c r="S135" s="155"/>
      <c r="T135" s="155"/>
      <c r="U135" s="155"/>
      <c r="V135" s="155"/>
      <c r="W135" s="155"/>
      <c r="X135" s="155"/>
      <c r="Y135" s="155"/>
    </row>
    <row r="136" spans="1:25" s="157" customFormat="1">
      <c r="A136" s="155"/>
      <c r="B136" s="155"/>
      <c r="C136" s="145"/>
      <c r="D136" s="155"/>
      <c r="E136" s="155"/>
      <c r="F136" s="155"/>
      <c r="G136" s="155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R136" s="145"/>
      <c r="S136" s="155"/>
      <c r="T136" s="155"/>
      <c r="U136" s="155"/>
      <c r="V136" s="155"/>
      <c r="W136" s="155"/>
      <c r="X136" s="155"/>
      <c r="Y136" s="155"/>
    </row>
    <row r="137" spans="1:25" s="157" customFormat="1">
      <c r="A137" s="155"/>
      <c r="B137" s="155"/>
      <c r="C137" s="145"/>
      <c r="D137" s="155"/>
      <c r="E137" s="155"/>
      <c r="F137" s="155"/>
      <c r="G137" s="155"/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  <c r="R137" s="145"/>
      <c r="S137" s="155"/>
      <c r="T137" s="155"/>
      <c r="U137" s="155"/>
      <c r="V137" s="155"/>
      <c r="W137" s="155"/>
      <c r="X137" s="155"/>
      <c r="Y137" s="155"/>
    </row>
    <row r="138" spans="1:25" s="157" customFormat="1">
      <c r="A138" s="155"/>
      <c r="B138" s="155"/>
      <c r="C138" s="145"/>
      <c r="D138" s="155"/>
      <c r="E138" s="155"/>
      <c r="F138" s="155"/>
      <c r="G138" s="155"/>
      <c r="H138" s="155"/>
      <c r="I138" s="155"/>
      <c r="J138" s="155"/>
      <c r="K138" s="155"/>
      <c r="L138" s="155"/>
      <c r="M138" s="155"/>
      <c r="N138" s="155"/>
      <c r="O138" s="155"/>
      <c r="P138" s="155"/>
      <c r="Q138" s="155"/>
      <c r="R138" s="145"/>
      <c r="S138" s="155"/>
      <c r="T138" s="155"/>
      <c r="U138" s="155"/>
      <c r="V138" s="155"/>
      <c r="W138" s="155"/>
      <c r="X138" s="155"/>
      <c r="Y138" s="155"/>
    </row>
    <row r="139" spans="1:25" s="157" customFormat="1">
      <c r="A139" s="155"/>
      <c r="B139" s="155"/>
      <c r="C139" s="145"/>
      <c r="D139" s="155"/>
      <c r="E139" s="155"/>
      <c r="F139" s="155"/>
      <c r="G139" s="155"/>
      <c r="H139" s="155"/>
      <c r="I139" s="155"/>
      <c r="J139" s="155"/>
      <c r="K139" s="155"/>
      <c r="L139" s="155"/>
      <c r="M139" s="155"/>
      <c r="N139" s="155"/>
      <c r="O139" s="155"/>
      <c r="P139" s="155"/>
      <c r="Q139" s="155"/>
      <c r="R139" s="145"/>
      <c r="S139" s="155"/>
      <c r="T139" s="155"/>
      <c r="U139" s="155"/>
      <c r="V139" s="155"/>
      <c r="W139" s="155"/>
      <c r="X139" s="155"/>
      <c r="Y139" s="155"/>
    </row>
    <row r="140" spans="1:25" s="157" customFormat="1">
      <c r="A140" s="155"/>
      <c r="B140" s="155"/>
      <c r="C140" s="145"/>
      <c r="D140" s="155"/>
      <c r="E140" s="155"/>
      <c r="F140" s="155"/>
      <c r="G140" s="155"/>
      <c r="H140" s="155"/>
      <c r="I140" s="155"/>
      <c r="J140" s="155"/>
      <c r="K140" s="155"/>
      <c r="L140" s="155"/>
      <c r="M140" s="155"/>
      <c r="N140" s="155"/>
      <c r="O140" s="155"/>
      <c r="P140" s="155"/>
      <c r="Q140" s="155"/>
      <c r="R140" s="145"/>
      <c r="S140" s="155"/>
      <c r="T140" s="155"/>
      <c r="U140" s="155"/>
      <c r="V140" s="155"/>
      <c r="W140" s="155"/>
      <c r="X140" s="155"/>
      <c r="Y140" s="155"/>
    </row>
    <row r="141" spans="1:25" s="157" customFormat="1">
      <c r="A141" s="155"/>
      <c r="B141" s="155"/>
      <c r="C141" s="145"/>
      <c r="D141" s="155"/>
      <c r="E141" s="155"/>
      <c r="F141" s="155"/>
      <c r="G141" s="155"/>
      <c r="H141" s="155"/>
      <c r="I141" s="155"/>
      <c r="J141" s="155"/>
      <c r="K141" s="155"/>
      <c r="L141" s="155"/>
      <c r="M141" s="155"/>
      <c r="N141" s="155"/>
      <c r="O141" s="155"/>
      <c r="P141" s="155"/>
      <c r="Q141" s="155"/>
      <c r="R141" s="145"/>
      <c r="S141" s="155"/>
      <c r="T141" s="155"/>
      <c r="U141" s="155"/>
      <c r="V141" s="155"/>
      <c r="W141" s="155"/>
      <c r="X141" s="155"/>
      <c r="Y141" s="155"/>
    </row>
    <row r="142" spans="1:25" s="157" customFormat="1">
      <c r="A142" s="155"/>
      <c r="B142" s="155"/>
      <c r="C142" s="145"/>
      <c r="D142" s="155"/>
      <c r="E142" s="155"/>
      <c r="F142" s="155"/>
      <c r="G142" s="155"/>
      <c r="H142" s="155"/>
      <c r="I142" s="155"/>
      <c r="J142" s="155"/>
      <c r="K142" s="155"/>
      <c r="L142" s="155"/>
      <c r="M142" s="155"/>
      <c r="N142" s="155"/>
      <c r="O142" s="155"/>
      <c r="P142" s="155"/>
      <c r="Q142" s="155"/>
      <c r="R142" s="145"/>
      <c r="S142" s="155"/>
      <c r="T142" s="155"/>
      <c r="U142" s="155"/>
      <c r="V142" s="155"/>
      <c r="W142" s="155"/>
      <c r="X142" s="155"/>
      <c r="Y142" s="155"/>
    </row>
    <row r="143" spans="1:25" s="157" customFormat="1">
      <c r="A143" s="155"/>
      <c r="B143" s="155"/>
      <c r="C143" s="145"/>
      <c r="D143" s="155"/>
      <c r="E143" s="155"/>
      <c r="F143" s="155"/>
      <c r="G143" s="155"/>
      <c r="H143" s="155"/>
      <c r="I143" s="155"/>
      <c r="J143" s="155"/>
      <c r="K143" s="155"/>
      <c r="L143" s="155"/>
      <c r="M143" s="155"/>
      <c r="N143" s="155"/>
      <c r="O143" s="155"/>
      <c r="P143" s="155"/>
      <c r="Q143" s="155"/>
      <c r="R143" s="145"/>
      <c r="S143" s="155"/>
      <c r="T143" s="155"/>
      <c r="U143" s="155"/>
      <c r="V143" s="155"/>
      <c r="W143" s="155"/>
      <c r="X143" s="155"/>
      <c r="Y143" s="155"/>
    </row>
    <row r="144" spans="1:25" s="157" customFormat="1">
      <c r="A144" s="155"/>
      <c r="B144" s="155"/>
      <c r="C144" s="145"/>
      <c r="D144" s="155"/>
      <c r="E144" s="155"/>
      <c r="F144" s="155"/>
      <c r="G144" s="155"/>
      <c r="H144" s="155"/>
      <c r="I144" s="155"/>
      <c r="J144" s="155"/>
      <c r="K144" s="155"/>
      <c r="L144" s="155"/>
      <c r="M144" s="155"/>
      <c r="N144" s="155"/>
      <c r="O144" s="155"/>
      <c r="P144" s="155"/>
      <c r="Q144" s="155"/>
      <c r="R144" s="145"/>
      <c r="S144" s="155"/>
      <c r="T144" s="155"/>
      <c r="U144" s="155"/>
      <c r="V144" s="155"/>
      <c r="W144" s="155"/>
      <c r="X144" s="155"/>
      <c r="Y144" s="155"/>
    </row>
    <row r="145" spans="1:25" s="157" customFormat="1">
      <c r="A145" s="155"/>
      <c r="B145" s="155"/>
      <c r="C145" s="145"/>
      <c r="D145" s="155"/>
      <c r="E145" s="155"/>
      <c r="F145" s="155"/>
      <c r="G145" s="155"/>
      <c r="H145" s="155"/>
      <c r="I145" s="155"/>
      <c r="J145" s="155"/>
      <c r="K145" s="155"/>
      <c r="L145" s="155"/>
      <c r="M145" s="155"/>
      <c r="N145" s="155"/>
      <c r="O145" s="155"/>
      <c r="P145" s="155"/>
      <c r="Q145" s="155"/>
      <c r="R145" s="145"/>
      <c r="S145" s="155"/>
      <c r="T145" s="155"/>
      <c r="U145" s="155"/>
      <c r="V145" s="155"/>
      <c r="W145" s="155"/>
      <c r="X145" s="155"/>
      <c r="Y145" s="155"/>
    </row>
    <row r="146" spans="1:25" s="157" customFormat="1">
      <c r="A146" s="155"/>
      <c r="B146" s="155"/>
      <c r="C146" s="145"/>
      <c r="D146" s="155"/>
      <c r="E146" s="155"/>
      <c r="F146" s="155"/>
      <c r="G146" s="155"/>
      <c r="H146" s="155"/>
      <c r="I146" s="155"/>
      <c r="J146" s="155"/>
      <c r="K146" s="155"/>
      <c r="L146" s="155"/>
      <c r="M146" s="155"/>
      <c r="N146" s="155"/>
      <c r="O146" s="155"/>
      <c r="P146" s="155"/>
      <c r="Q146" s="155"/>
      <c r="R146" s="145"/>
      <c r="S146" s="155"/>
      <c r="T146" s="155"/>
      <c r="U146" s="155"/>
      <c r="V146" s="155"/>
      <c r="W146" s="155"/>
      <c r="X146" s="155"/>
      <c r="Y146" s="155"/>
    </row>
    <row r="147" spans="1:25" s="157" customFormat="1">
      <c r="A147" s="155"/>
      <c r="B147" s="155"/>
      <c r="C147" s="145"/>
      <c r="D147" s="155"/>
      <c r="E147" s="155"/>
      <c r="F147" s="155"/>
      <c r="G147" s="155"/>
      <c r="H147" s="155"/>
      <c r="I147" s="155"/>
      <c r="J147" s="155"/>
      <c r="K147" s="155"/>
      <c r="L147" s="155"/>
      <c r="M147" s="155"/>
      <c r="N147" s="155"/>
      <c r="O147" s="155"/>
      <c r="P147" s="155"/>
      <c r="Q147" s="155"/>
      <c r="R147" s="155"/>
      <c r="S147" s="155"/>
      <c r="T147" s="155"/>
      <c r="U147" s="155"/>
      <c r="V147" s="155"/>
      <c r="W147" s="155"/>
      <c r="X147" s="155"/>
      <c r="Y147" s="155"/>
    </row>
    <row r="148" spans="1:25" s="157" customFormat="1">
      <c r="A148" s="155"/>
      <c r="B148" s="155"/>
      <c r="C148" s="145"/>
      <c r="D148" s="155"/>
      <c r="E148" s="155"/>
      <c r="F148" s="155"/>
      <c r="G148" s="155"/>
      <c r="H148" s="155"/>
      <c r="I148" s="155"/>
      <c r="J148" s="155"/>
      <c r="K148" s="155"/>
      <c r="L148" s="155"/>
      <c r="M148" s="155"/>
      <c r="N148" s="155"/>
      <c r="O148" s="155"/>
      <c r="P148" s="155"/>
      <c r="Q148" s="155"/>
      <c r="R148" s="155"/>
      <c r="S148" s="155"/>
      <c r="T148" s="155"/>
      <c r="U148" s="155"/>
      <c r="V148" s="155"/>
      <c r="W148" s="155"/>
      <c r="X148" s="155"/>
      <c r="Y148" s="155"/>
    </row>
    <row r="149" spans="1:25" s="157" customFormat="1">
      <c r="A149" s="155"/>
      <c r="B149" s="155"/>
      <c r="C149" s="145"/>
      <c r="D149" s="155"/>
      <c r="E149" s="155"/>
      <c r="F149" s="155"/>
      <c r="G149" s="155"/>
      <c r="H149" s="155"/>
      <c r="I149" s="155"/>
      <c r="J149" s="155"/>
      <c r="K149" s="155"/>
      <c r="L149" s="155"/>
      <c r="M149" s="155"/>
      <c r="N149" s="155"/>
      <c r="O149" s="155"/>
      <c r="P149" s="155"/>
      <c r="Q149" s="155"/>
      <c r="R149" s="155"/>
      <c r="S149" s="155"/>
      <c r="T149" s="155"/>
      <c r="U149" s="155"/>
      <c r="V149" s="155"/>
      <c r="W149" s="155"/>
      <c r="X149" s="155"/>
      <c r="Y149" s="155"/>
    </row>
    <row r="150" spans="1:25" s="157" customFormat="1">
      <c r="A150" s="155"/>
      <c r="B150" s="155"/>
      <c r="C150" s="145"/>
      <c r="D150" s="155"/>
      <c r="E150" s="155"/>
      <c r="F150" s="155"/>
      <c r="G150" s="155"/>
      <c r="H150" s="155"/>
      <c r="I150" s="155"/>
      <c r="J150" s="155"/>
      <c r="K150" s="155"/>
      <c r="L150" s="155"/>
      <c r="M150" s="155"/>
      <c r="N150" s="155"/>
      <c r="O150" s="155"/>
      <c r="P150" s="155"/>
      <c r="Q150" s="155"/>
      <c r="R150" s="155"/>
      <c r="S150" s="155"/>
      <c r="T150" s="155"/>
      <c r="U150" s="155"/>
      <c r="V150" s="155"/>
      <c r="W150" s="155"/>
      <c r="X150" s="155"/>
      <c r="Y150" s="155"/>
    </row>
    <row r="151" spans="1:25" s="157" customFormat="1">
      <c r="A151" s="155"/>
      <c r="B151" s="155"/>
      <c r="C151" s="145"/>
      <c r="D151" s="155"/>
      <c r="E151" s="155"/>
      <c r="F151" s="155"/>
      <c r="G151" s="155"/>
      <c r="H151" s="155"/>
      <c r="I151" s="155"/>
      <c r="J151" s="155"/>
      <c r="K151" s="155"/>
      <c r="L151" s="155"/>
      <c r="M151" s="155"/>
      <c r="N151" s="155"/>
      <c r="O151" s="155"/>
      <c r="P151" s="155"/>
      <c r="Q151" s="155"/>
      <c r="R151" s="155"/>
      <c r="S151" s="155"/>
      <c r="T151" s="155"/>
      <c r="U151" s="155"/>
      <c r="V151" s="155"/>
      <c r="W151" s="155"/>
      <c r="X151" s="155"/>
      <c r="Y151" s="155"/>
    </row>
    <row r="152" spans="1:25" s="157" customFormat="1">
      <c r="A152" s="155"/>
      <c r="B152" s="155"/>
      <c r="C152" s="145"/>
      <c r="D152" s="155"/>
      <c r="E152" s="155"/>
      <c r="F152" s="155"/>
      <c r="G152" s="155"/>
      <c r="H152" s="155"/>
      <c r="I152" s="155"/>
      <c r="J152" s="155"/>
      <c r="K152" s="155"/>
      <c r="L152" s="155"/>
      <c r="M152" s="155"/>
      <c r="N152" s="155"/>
      <c r="O152" s="155"/>
      <c r="P152" s="155"/>
      <c r="Q152" s="155"/>
      <c r="R152" s="155"/>
      <c r="S152" s="155"/>
      <c r="T152" s="155"/>
      <c r="U152" s="155"/>
      <c r="V152" s="155"/>
      <c r="W152" s="155"/>
      <c r="X152" s="155"/>
      <c r="Y152" s="155"/>
    </row>
    <row r="153" spans="1:25" s="157" customFormat="1">
      <c r="A153" s="155"/>
      <c r="B153" s="155"/>
      <c r="C153" s="145"/>
      <c r="D153" s="155"/>
      <c r="E153" s="155"/>
      <c r="F153" s="155"/>
      <c r="G153" s="155"/>
      <c r="H153" s="155"/>
      <c r="I153" s="155"/>
      <c r="J153" s="155"/>
      <c r="K153" s="155"/>
      <c r="L153" s="155"/>
      <c r="M153" s="155"/>
      <c r="N153" s="155"/>
      <c r="O153" s="155"/>
      <c r="P153" s="155"/>
      <c r="Q153" s="155"/>
      <c r="R153" s="155"/>
      <c r="S153" s="155"/>
      <c r="T153" s="155"/>
      <c r="U153" s="155"/>
      <c r="V153" s="155"/>
      <c r="W153" s="155"/>
      <c r="X153" s="155"/>
      <c r="Y153" s="155"/>
    </row>
    <row r="154" spans="1:25" s="157" customFormat="1">
      <c r="A154" s="155"/>
      <c r="B154" s="155"/>
      <c r="C154" s="145"/>
      <c r="D154" s="155"/>
      <c r="E154" s="155"/>
      <c r="F154" s="155"/>
      <c r="G154" s="155"/>
      <c r="H154" s="155"/>
      <c r="I154" s="155"/>
      <c r="J154" s="155"/>
      <c r="K154" s="155"/>
      <c r="L154" s="155"/>
      <c r="M154" s="155"/>
      <c r="N154" s="155"/>
      <c r="O154" s="155"/>
      <c r="P154" s="155"/>
      <c r="Q154" s="155"/>
      <c r="R154" s="155"/>
      <c r="S154" s="155"/>
      <c r="T154" s="155"/>
      <c r="U154" s="155"/>
      <c r="V154" s="155"/>
      <c r="W154" s="155"/>
      <c r="X154" s="155"/>
      <c r="Y154" s="155"/>
    </row>
    <row r="155" spans="1:25" s="157" customFormat="1">
      <c r="A155" s="155"/>
      <c r="B155" s="155"/>
      <c r="C155" s="145"/>
      <c r="D155" s="155"/>
      <c r="E155" s="155"/>
      <c r="F155" s="155"/>
      <c r="G155" s="155"/>
      <c r="H155" s="155"/>
      <c r="I155" s="155"/>
      <c r="J155" s="155"/>
      <c r="K155" s="155"/>
      <c r="L155" s="155"/>
      <c r="M155" s="155"/>
      <c r="N155" s="155"/>
      <c r="O155" s="155"/>
      <c r="P155" s="155"/>
      <c r="Q155" s="155"/>
      <c r="R155" s="155"/>
      <c r="S155" s="155"/>
      <c r="T155" s="155"/>
      <c r="U155" s="155"/>
      <c r="V155" s="155"/>
      <c r="W155" s="155"/>
      <c r="X155" s="155"/>
      <c r="Y155" s="155"/>
    </row>
    <row r="156" spans="1:25" s="157" customFormat="1">
      <c r="A156" s="155"/>
      <c r="B156" s="155"/>
      <c r="C156" s="145"/>
      <c r="D156" s="155"/>
      <c r="E156" s="155"/>
      <c r="F156" s="155"/>
      <c r="G156" s="155"/>
      <c r="H156" s="155"/>
      <c r="I156" s="155"/>
      <c r="J156" s="155"/>
      <c r="K156" s="155"/>
      <c r="L156" s="155"/>
      <c r="M156" s="155"/>
      <c r="N156" s="155"/>
      <c r="O156" s="155"/>
      <c r="P156" s="155"/>
      <c r="Q156" s="155"/>
      <c r="R156" s="155"/>
      <c r="S156" s="155"/>
      <c r="T156" s="155"/>
      <c r="U156" s="155"/>
      <c r="V156" s="155"/>
      <c r="W156" s="155"/>
      <c r="X156" s="155"/>
      <c r="Y156" s="155"/>
    </row>
    <row r="157" spans="1:25" s="157" customFormat="1">
      <c r="A157" s="155"/>
      <c r="B157" s="155"/>
      <c r="C157" s="145"/>
      <c r="D157" s="155"/>
      <c r="E157" s="155"/>
      <c r="F157" s="155"/>
      <c r="G157" s="155"/>
      <c r="H157" s="155"/>
      <c r="I157" s="155"/>
      <c r="J157" s="155"/>
      <c r="K157" s="155"/>
      <c r="L157" s="155"/>
      <c r="M157" s="155"/>
      <c r="N157" s="155"/>
      <c r="O157" s="155"/>
      <c r="P157" s="155"/>
      <c r="Q157" s="155"/>
      <c r="R157" s="155"/>
      <c r="S157" s="155"/>
      <c r="T157" s="155"/>
      <c r="U157" s="155"/>
      <c r="V157" s="155"/>
      <c r="W157" s="155"/>
      <c r="X157" s="155"/>
      <c r="Y157" s="155"/>
    </row>
    <row r="158" spans="1:25" s="157" customFormat="1">
      <c r="A158" s="155"/>
      <c r="B158" s="155"/>
      <c r="C158" s="145"/>
      <c r="D158" s="155"/>
      <c r="E158" s="155"/>
      <c r="F158" s="155"/>
      <c r="G158" s="155"/>
      <c r="H158" s="155"/>
      <c r="I158" s="155"/>
      <c r="J158" s="155"/>
      <c r="K158" s="155"/>
      <c r="L158" s="155"/>
      <c r="M158" s="155"/>
      <c r="N158" s="155"/>
      <c r="O158" s="155"/>
      <c r="P158" s="155"/>
      <c r="Q158" s="155"/>
      <c r="R158" s="155"/>
      <c r="S158" s="155"/>
      <c r="T158" s="155"/>
      <c r="U158" s="155"/>
      <c r="V158" s="155"/>
      <c r="W158" s="155"/>
      <c r="X158" s="155"/>
      <c r="Y158" s="155"/>
    </row>
    <row r="159" spans="1:25" s="157" customFormat="1">
      <c r="A159" s="155"/>
      <c r="B159" s="155"/>
      <c r="C159" s="145"/>
      <c r="D159" s="155"/>
      <c r="E159" s="155"/>
      <c r="F159" s="155"/>
      <c r="G159" s="155"/>
      <c r="H159" s="155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/>
      <c r="W159" s="155"/>
      <c r="X159" s="155"/>
      <c r="Y159" s="155"/>
    </row>
    <row r="160" spans="1:25" s="157" customFormat="1">
      <c r="A160" s="155"/>
      <c r="B160" s="155"/>
      <c r="C160" s="145"/>
      <c r="D160" s="155"/>
      <c r="E160" s="155"/>
      <c r="F160" s="155"/>
      <c r="G160" s="155"/>
      <c r="H160" s="155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</row>
    <row r="161" spans="1:25" s="157" customFormat="1">
      <c r="A161" s="155"/>
      <c r="B161" s="155"/>
      <c r="C161" s="145"/>
      <c r="D161" s="155"/>
      <c r="E161" s="155"/>
      <c r="F161" s="155"/>
      <c r="G161" s="155"/>
      <c r="H161" s="155"/>
      <c r="I161" s="155"/>
      <c r="J161" s="155"/>
      <c r="K161" s="155"/>
      <c r="L161" s="155"/>
      <c r="M161" s="155"/>
      <c r="N161" s="155"/>
      <c r="O161" s="155"/>
      <c r="P161" s="155"/>
      <c r="Q161" s="155"/>
      <c r="R161" s="155"/>
      <c r="S161" s="155"/>
      <c r="T161" s="155"/>
      <c r="U161" s="155"/>
      <c r="V161" s="155"/>
      <c r="W161" s="155"/>
      <c r="X161" s="155"/>
      <c r="Y161" s="155"/>
    </row>
    <row r="162" spans="1:25" s="157" customFormat="1">
      <c r="A162" s="155"/>
      <c r="B162" s="155"/>
      <c r="C162" s="145"/>
      <c r="D162" s="155"/>
      <c r="E162" s="155"/>
      <c r="F162" s="155"/>
      <c r="G162" s="155"/>
      <c r="H162" s="155"/>
      <c r="I162" s="155"/>
      <c r="J162" s="155"/>
      <c r="K162" s="155"/>
      <c r="L162" s="155"/>
      <c r="M162" s="155"/>
      <c r="N162" s="155"/>
      <c r="O162" s="155"/>
      <c r="P162" s="155"/>
      <c r="Q162" s="155"/>
      <c r="R162" s="155"/>
      <c r="S162" s="155"/>
      <c r="T162" s="155"/>
      <c r="U162" s="155"/>
      <c r="V162" s="155"/>
      <c r="W162" s="155"/>
      <c r="X162" s="155"/>
      <c r="Y162" s="155"/>
    </row>
    <row r="163" spans="1:25" s="157" customFormat="1">
      <c r="A163" s="155"/>
      <c r="B163" s="155"/>
      <c r="C163" s="145"/>
      <c r="D163" s="155"/>
      <c r="E163" s="155"/>
      <c r="F163" s="155"/>
      <c r="G163" s="155"/>
      <c r="H163" s="155"/>
      <c r="I163" s="155"/>
      <c r="J163" s="155"/>
      <c r="K163" s="155"/>
      <c r="L163" s="155"/>
      <c r="M163" s="155"/>
      <c r="N163" s="155"/>
      <c r="O163" s="155"/>
      <c r="P163" s="155"/>
      <c r="Q163" s="155"/>
      <c r="R163" s="155"/>
      <c r="S163" s="155"/>
      <c r="T163" s="155"/>
      <c r="U163" s="155"/>
      <c r="V163" s="155"/>
      <c r="W163" s="155"/>
      <c r="X163" s="155"/>
      <c r="Y163" s="155"/>
    </row>
    <row r="164" spans="1:25" s="157" customFormat="1">
      <c r="A164" s="155"/>
      <c r="B164" s="155"/>
      <c r="C164" s="145"/>
      <c r="D164" s="155"/>
      <c r="E164" s="155"/>
      <c r="F164" s="155"/>
      <c r="G164" s="155"/>
      <c r="H164" s="155"/>
      <c r="I164" s="155"/>
      <c r="J164" s="155"/>
      <c r="K164" s="155"/>
      <c r="L164" s="155"/>
      <c r="M164" s="155"/>
      <c r="N164" s="155"/>
      <c r="O164" s="155"/>
      <c r="P164" s="155"/>
      <c r="Q164" s="155"/>
      <c r="R164" s="155"/>
      <c r="S164" s="155"/>
      <c r="T164" s="155"/>
      <c r="U164" s="155"/>
      <c r="V164" s="155"/>
      <c r="W164" s="155"/>
      <c r="X164" s="155"/>
      <c r="Y164" s="155"/>
    </row>
    <row r="165" spans="1:25" s="157" customFormat="1">
      <c r="A165" s="155"/>
      <c r="B165" s="155"/>
      <c r="C165" s="145"/>
      <c r="D165" s="155"/>
      <c r="E165" s="155"/>
      <c r="F165" s="155"/>
      <c r="G165" s="155"/>
      <c r="H165" s="155"/>
      <c r="I165" s="155"/>
      <c r="J165" s="155"/>
      <c r="K165" s="155"/>
      <c r="L165" s="155"/>
      <c r="M165" s="155"/>
      <c r="N165" s="155"/>
      <c r="O165" s="155"/>
      <c r="P165" s="155"/>
      <c r="Q165" s="155"/>
      <c r="R165" s="155"/>
      <c r="S165" s="155"/>
      <c r="T165" s="155"/>
      <c r="U165" s="155"/>
      <c r="V165" s="155"/>
      <c r="W165" s="155"/>
      <c r="X165" s="155"/>
      <c r="Y165" s="155"/>
    </row>
    <row r="166" spans="1:25" s="157" customFormat="1">
      <c r="A166" s="155"/>
      <c r="B166" s="155"/>
      <c r="C166" s="145"/>
      <c r="D166" s="155"/>
      <c r="E166" s="155"/>
      <c r="F166" s="155"/>
      <c r="G166" s="155"/>
      <c r="H166" s="155"/>
      <c r="I166" s="155"/>
      <c r="J166" s="155"/>
      <c r="K166" s="155"/>
      <c r="L166" s="155"/>
      <c r="M166" s="155"/>
      <c r="N166" s="155"/>
      <c r="O166" s="155"/>
      <c r="P166" s="155"/>
      <c r="Q166" s="155"/>
      <c r="R166" s="155"/>
      <c r="S166" s="155"/>
      <c r="T166" s="155"/>
      <c r="U166" s="155"/>
      <c r="V166" s="155"/>
      <c r="W166" s="155"/>
      <c r="X166" s="155"/>
      <c r="Y166" s="155"/>
    </row>
    <row r="167" spans="1:25" s="157" customFormat="1">
      <c r="A167" s="155"/>
      <c r="B167" s="155"/>
      <c r="C167" s="145"/>
      <c r="D167" s="155"/>
      <c r="E167" s="155"/>
      <c r="F167" s="155"/>
      <c r="G167" s="155"/>
      <c r="H167" s="155"/>
      <c r="I167" s="155"/>
      <c r="J167" s="155"/>
      <c r="K167" s="155"/>
      <c r="L167" s="155"/>
      <c r="M167" s="155"/>
      <c r="N167" s="155"/>
      <c r="O167" s="155"/>
      <c r="P167" s="155"/>
      <c r="Q167" s="155"/>
      <c r="R167" s="155"/>
      <c r="S167" s="155"/>
      <c r="T167" s="155"/>
      <c r="U167" s="155"/>
      <c r="V167" s="155"/>
      <c r="W167" s="155"/>
      <c r="X167" s="155"/>
      <c r="Y167" s="155"/>
    </row>
    <row r="168" spans="1:25" s="157" customFormat="1">
      <c r="A168" s="155"/>
      <c r="B168" s="155"/>
      <c r="C168" s="145"/>
      <c r="D168" s="155"/>
      <c r="E168" s="155"/>
      <c r="F168" s="155"/>
      <c r="G168" s="155"/>
      <c r="H168" s="155"/>
      <c r="I168" s="155"/>
      <c r="J168" s="155"/>
      <c r="K168" s="155"/>
      <c r="L168" s="155"/>
      <c r="M168" s="155"/>
      <c r="N168" s="155"/>
      <c r="O168" s="155"/>
      <c r="P168" s="155"/>
      <c r="Q168" s="155"/>
      <c r="R168" s="155"/>
      <c r="S168" s="155"/>
      <c r="T168" s="155"/>
      <c r="U168" s="155"/>
      <c r="V168" s="155"/>
      <c r="W168" s="155"/>
      <c r="X168" s="155"/>
      <c r="Y168" s="155"/>
    </row>
    <row r="169" spans="1:25" s="157" customFormat="1">
      <c r="A169" s="155"/>
      <c r="B169" s="155"/>
      <c r="C169" s="145"/>
      <c r="D169" s="155"/>
      <c r="E169" s="155"/>
      <c r="F169" s="155"/>
      <c r="G169" s="155"/>
      <c r="H169" s="155"/>
      <c r="I169" s="155"/>
      <c r="J169" s="155"/>
      <c r="K169" s="155"/>
      <c r="L169" s="155"/>
      <c r="M169" s="155"/>
      <c r="N169" s="155"/>
      <c r="O169" s="155"/>
      <c r="P169" s="155"/>
      <c r="Q169" s="155"/>
      <c r="R169" s="155"/>
      <c r="S169" s="155"/>
      <c r="T169" s="155"/>
      <c r="U169" s="155"/>
      <c r="V169" s="155"/>
      <c r="W169" s="155"/>
      <c r="X169" s="155"/>
      <c r="Y169" s="155"/>
    </row>
    <row r="170" spans="1:25" s="157" customFormat="1">
      <c r="A170" s="155"/>
      <c r="B170" s="155"/>
      <c r="C170" s="145"/>
      <c r="D170" s="155"/>
      <c r="E170" s="155"/>
      <c r="F170" s="155"/>
      <c r="G170" s="155"/>
      <c r="H170" s="155"/>
      <c r="I170" s="155"/>
      <c r="J170" s="155"/>
      <c r="K170" s="155"/>
      <c r="L170" s="155"/>
      <c r="M170" s="155"/>
      <c r="N170" s="155"/>
      <c r="O170" s="155"/>
      <c r="P170" s="155"/>
      <c r="Q170" s="155"/>
      <c r="R170" s="155"/>
      <c r="S170" s="155"/>
      <c r="T170" s="155"/>
      <c r="U170" s="155"/>
      <c r="V170" s="155"/>
      <c r="W170" s="155"/>
      <c r="X170" s="155"/>
      <c r="Y170" s="155"/>
    </row>
    <row r="171" spans="1:25" s="157" customFormat="1">
      <c r="A171" s="155"/>
      <c r="B171" s="155"/>
      <c r="C171" s="145"/>
      <c r="D171" s="155"/>
      <c r="E171" s="155"/>
      <c r="F171" s="155"/>
      <c r="G171" s="155"/>
      <c r="H171" s="155"/>
      <c r="I171" s="155"/>
      <c r="J171" s="155"/>
      <c r="K171" s="155"/>
      <c r="L171" s="155"/>
      <c r="M171" s="155"/>
      <c r="N171" s="155"/>
      <c r="O171" s="155"/>
      <c r="P171" s="155"/>
      <c r="Q171" s="155"/>
      <c r="R171" s="155"/>
      <c r="S171" s="155"/>
      <c r="T171" s="155"/>
      <c r="U171" s="155"/>
      <c r="V171" s="155"/>
      <c r="W171" s="155"/>
      <c r="X171" s="155"/>
      <c r="Y171" s="155"/>
    </row>
    <row r="172" spans="1:25" s="157" customFormat="1">
      <c r="A172" s="155"/>
      <c r="B172" s="155"/>
      <c r="C172" s="145"/>
      <c r="D172" s="155"/>
      <c r="E172" s="155"/>
      <c r="F172" s="155"/>
      <c r="G172" s="155"/>
      <c r="H172" s="155"/>
      <c r="I172" s="155"/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155"/>
      <c r="V172" s="155"/>
      <c r="W172" s="155"/>
      <c r="X172" s="155"/>
      <c r="Y172" s="155"/>
    </row>
    <row r="173" spans="1:25" s="157" customFormat="1">
      <c r="A173" s="155"/>
      <c r="B173" s="155"/>
      <c r="C173" s="145"/>
      <c r="D173" s="155"/>
      <c r="E173" s="155"/>
      <c r="F173" s="155"/>
      <c r="G173" s="155"/>
      <c r="H173" s="155"/>
      <c r="I173" s="155"/>
      <c r="J173" s="155"/>
      <c r="K173" s="155"/>
      <c r="L173" s="155"/>
      <c r="M173" s="155"/>
      <c r="N173" s="155"/>
      <c r="O173" s="155"/>
      <c r="P173" s="155"/>
      <c r="Q173" s="155"/>
      <c r="R173" s="155"/>
      <c r="S173" s="155"/>
      <c r="T173" s="155"/>
      <c r="U173" s="155"/>
      <c r="V173" s="155"/>
      <c r="W173" s="155"/>
      <c r="X173" s="155"/>
      <c r="Y173" s="155"/>
    </row>
    <row r="174" spans="1:25" s="157" customFormat="1">
      <c r="A174" s="155"/>
      <c r="B174" s="155"/>
      <c r="C174" s="145"/>
      <c r="D174" s="155"/>
      <c r="E174" s="155"/>
      <c r="F174" s="155"/>
      <c r="G174" s="155"/>
      <c r="H174" s="155"/>
      <c r="I174" s="155"/>
      <c r="J174" s="155"/>
      <c r="K174" s="155"/>
      <c r="L174" s="155"/>
      <c r="M174" s="155"/>
      <c r="N174" s="155"/>
      <c r="O174" s="155"/>
      <c r="P174" s="155"/>
      <c r="Q174" s="155"/>
      <c r="R174" s="155"/>
      <c r="S174" s="155"/>
      <c r="T174" s="155"/>
      <c r="U174" s="155"/>
      <c r="V174" s="155"/>
      <c r="W174" s="155"/>
      <c r="X174" s="155"/>
      <c r="Y174" s="155"/>
    </row>
    <row r="175" spans="1:25" s="157" customFormat="1">
      <c r="A175" s="155"/>
      <c r="B175" s="155"/>
      <c r="C175" s="145"/>
      <c r="D175" s="155"/>
      <c r="E175" s="155"/>
      <c r="F175" s="155"/>
      <c r="G175" s="155"/>
      <c r="H175" s="155"/>
      <c r="I175" s="155"/>
      <c r="J175" s="155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5"/>
      <c r="X175" s="155"/>
      <c r="Y175" s="155"/>
    </row>
    <row r="176" spans="1:25" s="157" customFormat="1">
      <c r="A176" s="155"/>
      <c r="B176" s="155"/>
      <c r="C176" s="145"/>
      <c r="D176" s="155"/>
      <c r="E176" s="155"/>
      <c r="F176" s="155"/>
      <c r="G176" s="155"/>
      <c r="H176" s="155"/>
      <c r="I176" s="155"/>
      <c r="J176" s="155"/>
      <c r="K176" s="155"/>
      <c r="L176" s="155"/>
      <c r="M176" s="155"/>
      <c r="N176" s="155"/>
      <c r="O176" s="155"/>
      <c r="P176" s="155"/>
      <c r="Q176" s="155"/>
      <c r="R176" s="155"/>
      <c r="S176" s="155"/>
      <c r="T176" s="155"/>
      <c r="U176" s="155"/>
      <c r="V176" s="155"/>
      <c r="W176" s="155"/>
      <c r="X176" s="155"/>
      <c r="Y176" s="155"/>
    </row>
    <row r="177" spans="1:25" s="157" customFormat="1">
      <c r="A177" s="155"/>
      <c r="B177" s="155"/>
      <c r="C177" s="145"/>
      <c r="D177" s="155"/>
      <c r="E177" s="155"/>
      <c r="F177" s="155"/>
      <c r="G177" s="155"/>
      <c r="H177" s="155"/>
      <c r="I177" s="155"/>
      <c r="J177" s="155"/>
      <c r="K177" s="155"/>
      <c r="L177" s="155"/>
      <c r="M177" s="155"/>
      <c r="N177" s="155"/>
      <c r="O177" s="155"/>
      <c r="P177" s="155"/>
      <c r="Q177" s="155"/>
      <c r="R177" s="155"/>
      <c r="S177" s="155"/>
      <c r="T177" s="155"/>
      <c r="U177" s="155"/>
      <c r="V177" s="155"/>
      <c r="W177" s="155"/>
      <c r="X177" s="155"/>
      <c r="Y177" s="155"/>
    </row>
    <row r="178" spans="1:25" s="157" customFormat="1">
      <c r="A178" s="155"/>
      <c r="B178" s="155"/>
      <c r="C178" s="145"/>
      <c r="D178" s="155"/>
      <c r="E178" s="155"/>
      <c r="F178" s="155"/>
      <c r="G178" s="155"/>
      <c r="H178" s="155"/>
      <c r="I178" s="155"/>
      <c r="J178" s="155"/>
      <c r="K178" s="155"/>
      <c r="L178" s="155"/>
      <c r="M178" s="155"/>
      <c r="N178" s="155"/>
      <c r="O178" s="155"/>
      <c r="P178" s="155"/>
      <c r="Q178" s="155"/>
      <c r="R178" s="155"/>
      <c r="S178" s="155"/>
      <c r="T178" s="155"/>
      <c r="U178" s="155"/>
      <c r="V178" s="155"/>
      <c r="W178" s="155"/>
      <c r="X178" s="155"/>
      <c r="Y178" s="155"/>
    </row>
    <row r="179" spans="1:25" s="157" customFormat="1">
      <c r="A179" s="155"/>
      <c r="B179" s="155"/>
      <c r="C179" s="145"/>
      <c r="D179" s="155"/>
      <c r="E179" s="155"/>
      <c r="F179" s="155"/>
      <c r="G179" s="155"/>
      <c r="H179" s="155"/>
      <c r="I179" s="155"/>
      <c r="J179" s="155"/>
      <c r="K179" s="155"/>
      <c r="L179" s="155"/>
      <c r="M179" s="155"/>
      <c r="N179" s="155"/>
      <c r="O179" s="155"/>
      <c r="P179" s="155"/>
      <c r="Q179" s="155"/>
      <c r="R179" s="155"/>
      <c r="S179" s="155"/>
      <c r="T179" s="155"/>
      <c r="U179" s="155"/>
      <c r="V179" s="155"/>
      <c r="W179" s="155"/>
      <c r="X179" s="155"/>
      <c r="Y179" s="155"/>
    </row>
    <row r="180" spans="1:25" s="157" customFormat="1">
      <c r="A180" s="155"/>
      <c r="B180" s="155"/>
      <c r="C180" s="145"/>
      <c r="D180" s="155"/>
      <c r="E180" s="155"/>
      <c r="F180" s="155"/>
      <c r="G180" s="155"/>
      <c r="H180" s="155"/>
      <c r="I180" s="155"/>
      <c r="J180" s="155"/>
      <c r="K180" s="155"/>
      <c r="L180" s="155"/>
      <c r="M180" s="155"/>
      <c r="N180" s="155"/>
      <c r="O180" s="155"/>
      <c r="P180" s="155"/>
      <c r="Q180" s="155"/>
      <c r="R180" s="155"/>
      <c r="S180" s="155"/>
      <c r="T180" s="155"/>
      <c r="U180" s="155"/>
      <c r="V180" s="155"/>
      <c r="W180" s="155"/>
      <c r="X180" s="155"/>
      <c r="Y180" s="155"/>
    </row>
    <row r="181" spans="1:25" s="157" customFormat="1">
      <c r="A181" s="155"/>
      <c r="B181" s="155"/>
      <c r="C181" s="145"/>
      <c r="D181" s="155"/>
      <c r="E181" s="155"/>
      <c r="F181" s="155"/>
      <c r="G181" s="155"/>
      <c r="H181" s="155"/>
      <c r="I181" s="155"/>
      <c r="J181" s="155"/>
      <c r="K181" s="155"/>
      <c r="L181" s="155"/>
      <c r="M181" s="155"/>
      <c r="N181" s="155"/>
      <c r="O181" s="155"/>
      <c r="P181" s="155"/>
      <c r="Q181" s="155"/>
      <c r="R181" s="155"/>
      <c r="S181" s="155"/>
      <c r="T181" s="155"/>
      <c r="U181" s="155"/>
      <c r="V181" s="155"/>
      <c r="W181" s="155"/>
      <c r="X181" s="155"/>
      <c r="Y181" s="155"/>
    </row>
    <row r="182" spans="1:25" s="157" customFormat="1">
      <c r="A182" s="155"/>
      <c r="B182" s="155"/>
      <c r="C182" s="145"/>
      <c r="D182" s="155"/>
      <c r="E182" s="155"/>
      <c r="F182" s="155"/>
      <c r="G182" s="155"/>
      <c r="H182" s="155"/>
      <c r="I182" s="155"/>
      <c r="J182" s="155"/>
      <c r="K182" s="155"/>
      <c r="L182" s="155"/>
      <c r="M182" s="155"/>
      <c r="N182" s="155"/>
      <c r="O182" s="155"/>
      <c r="P182" s="155"/>
      <c r="Q182" s="155"/>
      <c r="R182" s="155"/>
      <c r="S182" s="155"/>
      <c r="T182" s="155"/>
      <c r="U182" s="155"/>
      <c r="V182" s="155"/>
      <c r="W182" s="155"/>
      <c r="X182" s="155"/>
      <c r="Y182" s="155"/>
    </row>
    <row r="183" spans="1:25" s="157" customFormat="1">
      <c r="A183" s="155"/>
      <c r="B183" s="155"/>
      <c r="C183" s="145"/>
      <c r="D183" s="155"/>
      <c r="E183" s="155"/>
      <c r="F183" s="155"/>
      <c r="G183" s="155"/>
      <c r="H183" s="155"/>
      <c r="I183" s="155"/>
      <c r="J183" s="155"/>
      <c r="K183" s="155"/>
      <c r="L183" s="155"/>
      <c r="M183" s="155"/>
      <c r="N183" s="155"/>
      <c r="O183" s="155"/>
      <c r="P183" s="155"/>
      <c r="Q183" s="155"/>
      <c r="R183" s="155"/>
      <c r="S183" s="155"/>
      <c r="T183" s="155"/>
      <c r="U183" s="155"/>
      <c r="V183" s="155"/>
      <c r="W183" s="155"/>
      <c r="X183" s="155"/>
      <c r="Y183" s="155"/>
    </row>
    <row r="184" spans="1:25" s="157" customFormat="1">
      <c r="A184" s="155"/>
      <c r="B184" s="155"/>
      <c r="C184" s="145"/>
      <c r="D184" s="155"/>
      <c r="E184" s="155"/>
      <c r="F184" s="155"/>
      <c r="G184" s="155"/>
      <c r="H184" s="155"/>
      <c r="I184" s="155"/>
      <c r="J184" s="155"/>
      <c r="K184" s="155"/>
      <c r="L184" s="155"/>
      <c r="M184" s="155"/>
      <c r="N184" s="155"/>
      <c r="O184" s="155"/>
      <c r="P184" s="155"/>
      <c r="Q184" s="155"/>
      <c r="R184" s="155"/>
      <c r="S184" s="155"/>
      <c r="T184" s="155"/>
      <c r="U184" s="155"/>
      <c r="V184" s="155"/>
      <c r="W184" s="155"/>
      <c r="X184" s="155"/>
      <c r="Y184" s="155"/>
    </row>
    <row r="185" spans="1:25" s="157" customFormat="1">
      <c r="A185" s="155"/>
      <c r="B185" s="155"/>
      <c r="C185" s="145"/>
      <c r="D185" s="155"/>
      <c r="E185" s="155"/>
      <c r="F185" s="155"/>
      <c r="G185" s="155"/>
      <c r="H185" s="155"/>
      <c r="I185" s="155"/>
      <c r="J185" s="155"/>
      <c r="K185" s="155"/>
      <c r="L185" s="155"/>
      <c r="M185" s="155"/>
      <c r="N185" s="155"/>
      <c r="O185" s="155"/>
      <c r="P185" s="155"/>
      <c r="Q185" s="155"/>
      <c r="R185" s="155"/>
      <c r="S185" s="155"/>
      <c r="T185" s="155"/>
      <c r="U185" s="155"/>
      <c r="V185" s="155"/>
      <c r="W185" s="155"/>
      <c r="X185" s="155"/>
      <c r="Y185" s="155"/>
    </row>
    <row r="186" spans="1:25" s="157" customFormat="1">
      <c r="A186" s="155"/>
      <c r="B186" s="155"/>
      <c r="C186" s="145"/>
      <c r="D186" s="155"/>
      <c r="E186" s="155"/>
      <c r="F186" s="155"/>
      <c r="G186" s="155"/>
      <c r="H186" s="155"/>
      <c r="I186" s="155"/>
      <c r="J186" s="155"/>
      <c r="K186" s="155"/>
      <c r="L186" s="155"/>
      <c r="M186" s="155"/>
      <c r="N186" s="155"/>
      <c r="O186" s="155"/>
      <c r="P186" s="155"/>
      <c r="Q186" s="155"/>
      <c r="R186" s="155"/>
      <c r="S186" s="155"/>
      <c r="T186" s="155"/>
      <c r="U186" s="155"/>
      <c r="V186" s="155"/>
      <c r="W186" s="155"/>
      <c r="X186" s="155"/>
      <c r="Y186" s="155"/>
    </row>
    <row r="187" spans="1:25" s="157" customFormat="1">
      <c r="A187" s="155"/>
      <c r="B187" s="155"/>
      <c r="C187" s="145"/>
      <c r="D187" s="155"/>
      <c r="E187" s="155"/>
      <c r="F187" s="155"/>
      <c r="G187" s="155"/>
      <c r="H187" s="155"/>
      <c r="I187" s="155"/>
      <c r="J187" s="155"/>
      <c r="K187" s="155"/>
      <c r="L187" s="155"/>
      <c r="M187" s="155"/>
      <c r="N187" s="155"/>
      <c r="O187" s="155"/>
      <c r="P187" s="155"/>
      <c r="Q187" s="155"/>
      <c r="R187" s="155"/>
      <c r="S187" s="155"/>
      <c r="T187" s="155"/>
      <c r="U187" s="155"/>
      <c r="V187" s="155"/>
      <c r="W187" s="155"/>
      <c r="X187" s="155"/>
      <c r="Y187" s="155"/>
    </row>
    <row r="188" spans="1:25" s="157" customFormat="1">
      <c r="A188" s="155"/>
      <c r="B188" s="155"/>
      <c r="C188" s="145"/>
      <c r="D188" s="155"/>
      <c r="E188" s="155"/>
      <c r="F188" s="155"/>
      <c r="G188" s="155"/>
      <c r="H188" s="155"/>
      <c r="I188" s="155"/>
      <c r="J188" s="155"/>
      <c r="K188" s="155"/>
      <c r="L188" s="155"/>
      <c r="M188" s="155"/>
      <c r="N188" s="155"/>
      <c r="O188" s="155"/>
      <c r="P188" s="155"/>
      <c r="Q188" s="155"/>
      <c r="R188" s="155"/>
      <c r="S188" s="155"/>
      <c r="T188" s="155"/>
      <c r="U188" s="155"/>
      <c r="V188" s="155"/>
      <c r="W188" s="155"/>
      <c r="X188" s="155"/>
      <c r="Y188" s="155"/>
    </row>
    <row r="189" spans="1:25" s="157" customFormat="1">
      <c r="A189" s="155"/>
      <c r="B189" s="155"/>
      <c r="C189" s="145"/>
      <c r="D189" s="155"/>
      <c r="E189" s="155"/>
      <c r="F189" s="155"/>
      <c r="G189" s="155"/>
      <c r="H189" s="155"/>
      <c r="I189" s="155"/>
      <c r="J189" s="155"/>
      <c r="K189" s="155"/>
      <c r="L189" s="155"/>
      <c r="M189" s="155"/>
      <c r="N189" s="155"/>
      <c r="O189" s="155"/>
      <c r="P189" s="155"/>
      <c r="Q189" s="155"/>
      <c r="R189" s="155"/>
      <c r="S189" s="155"/>
      <c r="T189" s="155"/>
      <c r="U189" s="155"/>
      <c r="V189" s="155"/>
      <c r="W189" s="155"/>
      <c r="X189" s="155"/>
      <c r="Y189" s="155"/>
    </row>
    <row r="190" spans="1:25" s="157" customFormat="1">
      <c r="A190" s="155"/>
      <c r="B190" s="155"/>
      <c r="C190" s="145"/>
      <c r="D190" s="155"/>
      <c r="E190" s="155"/>
      <c r="F190" s="155"/>
      <c r="G190" s="155"/>
      <c r="H190" s="155"/>
      <c r="I190" s="155"/>
      <c r="J190" s="155"/>
      <c r="K190" s="155"/>
      <c r="L190" s="155"/>
      <c r="M190" s="155"/>
      <c r="N190" s="155"/>
      <c r="O190" s="155"/>
      <c r="P190" s="155"/>
      <c r="Q190" s="155"/>
      <c r="R190" s="155"/>
      <c r="S190" s="155"/>
      <c r="T190" s="155"/>
      <c r="U190" s="155"/>
      <c r="V190" s="155"/>
      <c r="W190" s="155"/>
      <c r="X190" s="155"/>
      <c r="Y190" s="155"/>
    </row>
    <row r="191" spans="1:25">
      <c r="C191" s="145"/>
    </row>
    <row r="192" spans="1:25">
      <c r="C192" s="145"/>
    </row>
    <row r="193" spans="3:3">
      <c r="C193" s="145"/>
    </row>
    <row r="194" spans="3:3">
      <c r="C194" s="145"/>
    </row>
    <row r="195" spans="3:3">
      <c r="C195" s="145"/>
    </row>
    <row r="196" spans="3:3">
      <c r="C196" s="145"/>
    </row>
    <row r="197" spans="3:3">
      <c r="C197" s="145"/>
    </row>
    <row r="198" spans="3:3">
      <c r="C198" s="145"/>
    </row>
    <row r="199" spans="3:3">
      <c r="C199" s="145"/>
    </row>
    <row r="200" spans="3:3">
      <c r="C200" s="145"/>
    </row>
    <row r="201" spans="3:3">
      <c r="C201" s="145"/>
    </row>
    <row r="202" spans="3:3">
      <c r="C202" s="145"/>
    </row>
    <row r="203" spans="3:3">
      <c r="C203" s="145"/>
    </row>
    <row r="204" spans="3:3">
      <c r="C204" s="145"/>
    </row>
    <row r="205" spans="3:3">
      <c r="C205" s="145"/>
    </row>
    <row r="206" spans="3:3">
      <c r="C206" s="145"/>
    </row>
    <row r="207" spans="3:3">
      <c r="C207" s="145"/>
    </row>
    <row r="208" spans="3:3">
      <c r="C208" s="145"/>
    </row>
    <row r="209" spans="3:3">
      <c r="C209" s="145"/>
    </row>
    <row r="210" spans="3:3">
      <c r="C210" s="145"/>
    </row>
    <row r="211" spans="3:3">
      <c r="C211" s="145"/>
    </row>
    <row r="212" spans="3:3">
      <c r="C212" s="145"/>
    </row>
    <row r="213" spans="3:3">
      <c r="C213" s="145"/>
    </row>
    <row r="214" spans="3:3">
      <c r="C214" s="145"/>
    </row>
    <row r="215" spans="3:3">
      <c r="C215" s="145"/>
    </row>
    <row r="216" spans="3:3">
      <c r="C216" s="145"/>
    </row>
    <row r="217" spans="3:3">
      <c r="C217" s="145"/>
    </row>
    <row r="218" spans="3:3">
      <c r="C218" s="145"/>
    </row>
    <row r="219" spans="3:3">
      <c r="C219" s="145"/>
    </row>
    <row r="220" spans="3:3">
      <c r="C220" s="145"/>
    </row>
    <row r="221" spans="3:3">
      <c r="C221" s="145"/>
    </row>
    <row r="222" spans="3:3">
      <c r="C222" s="145"/>
    </row>
    <row r="223" spans="3:3">
      <c r="C223" s="145"/>
    </row>
    <row r="224" spans="3:3">
      <c r="C224" s="145"/>
    </row>
    <row r="225" spans="3:3">
      <c r="C225" s="145"/>
    </row>
    <row r="226" spans="3:3">
      <c r="C226" s="145"/>
    </row>
    <row r="227" spans="3:3">
      <c r="C227" s="145"/>
    </row>
    <row r="228" spans="3:3">
      <c r="C228" s="145"/>
    </row>
    <row r="229" spans="3:3">
      <c r="C229" s="145"/>
    </row>
    <row r="230" spans="3:3">
      <c r="C230" s="145"/>
    </row>
    <row r="231" spans="3:3">
      <c r="C231" s="145"/>
    </row>
    <row r="232" spans="3:3">
      <c r="C232" s="145"/>
    </row>
    <row r="233" spans="3:3">
      <c r="C233" s="145"/>
    </row>
    <row r="234" spans="3:3">
      <c r="C234" s="145"/>
    </row>
    <row r="235" spans="3:3">
      <c r="C235" s="145"/>
    </row>
    <row r="236" spans="3:3">
      <c r="C236" s="145"/>
    </row>
    <row r="237" spans="3:3">
      <c r="C237" s="145"/>
    </row>
    <row r="238" spans="3:3">
      <c r="C238" s="145"/>
    </row>
    <row r="239" spans="3:3">
      <c r="C239" s="145"/>
    </row>
    <row r="240" spans="3:3">
      <c r="C240" s="145"/>
    </row>
    <row r="241" spans="3:3">
      <c r="C241" s="145"/>
    </row>
    <row r="242" spans="3:3">
      <c r="C242" s="145"/>
    </row>
    <row r="243" spans="3:3">
      <c r="C243" s="145"/>
    </row>
    <row r="244" spans="3:3">
      <c r="C244" s="145"/>
    </row>
    <row r="245" spans="3:3">
      <c r="C245" s="145"/>
    </row>
  </sheetData>
  <mergeCells count="12">
    <mergeCell ref="X3:Y3"/>
    <mergeCell ref="V3:W3"/>
    <mergeCell ref="F3:G3"/>
    <mergeCell ref="H3:I3"/>
    <mergeCell ref="J3:K3"/>
    <mergeCell ref="D3:E3"/>
    <mergeCell ref="A3:B3"/>
    <mergeCell ref="T3:U3"/>
    <mergeCell ref="N3:O3"/>
    <mergeCell ref="P3:Q3"/>
    <mergeCell ref="R3:S3"/>
    <mergeCell ref="L3:M3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245"/>
  <sheetViews>
    <sheetView zoomScale="80" zoomScaleNormal="80" workbookViewId="0">
      <selection activeCell="H37" sqref="H37"/>
    </sheetView>
  </sheetViews>
  <sheetFormatPr defaultColWidth="9" defaultRowHeight="15.6"/>
  <cols>
    <col min="1" max="1" width="6.19921875" style="155" customWidth="1"/>
    <col min="2" max="2" width="31.296875" style="155" customWidth="1"/>
    <col min="3" max="3" width="16.19921875" style="155" customWidth="1"/>
    <col min="4" max="4" width="31.296875" style="155" customWidth="1"/>
    <col min="5" max="5" width="16.19921875" style="155" customWidth="1"/>
    <col min="6" max="6" width="31.19921875" style="155" customWidth="1"/>
    <col min="7" max="7" width="16.19921875" style="155" customWidth="1"/>
    <col min="8" max="8" width="31.19921875" style="155" customWidth="1"/>
    <col min="9" max="9" width="16.09765625" style="155" customWidth="1"/>
    <col min="10" max="10" width="31.19921875" style="155" customWidth="1"/>
    <col min="11" max="11" width="16.09765625" style="155" customWidth="1"/>
    <col min="12" max="12" width="31.19921875" style="155" customWidth="1"/>
    <col min="13" max="13" width="16.19921875" style="155" customWidth="1"/>
    <col min="14" max="14" width="31.19921875" style="155" customWidth="1"/>
    <col min="15" max="15" width="16.19921875" style="155" customWidth="1"/>
    <col min="16" max="16" width="31.19921875" style="155" customWidth="1"/>
    <col min="17" max="17" width="16.19921875" style="155" customWidth="1"/>
    <col min="18" max="18" width="31.19921875" style="155" bestFit="1" customWidth="1"/>
    <col min="19" max="19" width="16.19921875" style="155" customWidth="1"/>
    <col min="20" max="20" width="31.19921875" style="155" bestFit="1" customWidth="1"/>
    <col min="21" max="21" width="16.19921875" style="155" customWidth="1"/>
    <col min="22" max="16384" width="9" style="136"/>
  </cols>
  <sheetData>
    <row r="1" spans="1:21" ht="27" customHeight="1">
      <c r="A1" s="136"/>
      <c r="B1" s="135" t="s">
        <v>1241</v>
      </c>
      <c r="C1" s="136"/>
      <c r="D1" s="135"/>
      <c r="E1" s="136"/>
      <c r="F1" s="136"/>
      <c r="G1" s="136"/>
      <c r="H1" s="136"/>
      <c r="I1" s="136"/>
      <c r="J1" s="136"/>
      <c r="K1" s="136"/>
      <c r="L1" s="137"/>
      <c r="M1" s="138"/>
      <c r="N1" s="138"/>
      <c r="O1" s="138"/>
      <c r="P1" s="138"/>
      <c r="Q1" s="138"/>
      <c r="R1" s="138"/>
      <c r="S1" s="138"/>
      <c r="T1" s="138"/>
      <c r="U1" s="138"/>
    </row>
    <row r="2" spans="1:21" ht="4.95" customHeight="1" thickBot="1">
      <c r="A2" s="136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</row>
    <row r="3" spans="1:21" ht="53.55" customHeight="1" thickBot="1">
      <c r="A3" s="136"/>
      <c r="B3" s="388" t="s">
        <v>994</v>
      </c>
      <c r="C3" s="389"/>
      <c r="D3" s="388" t="s">
        <v>1231</v>
      </c>
      <c r="E3" s="389"/>
      <c r="F3" s="388" t="s">
        <v>996</v>
      </c>
      <c r="G3" s="389"/>
      <c r="H3" s="388" t="s">
        <v>997</v>
      </c>
      <c r="I3" s="394"/>
      <c r="J3" s="388" t="s">
        <v>998</v>
      </c>
      <c r="K3" s="394"/>
      <c r="L3" s="388" t="s">
        <v>999</v>
      </c>
      <c r="M3" s="389"/>
      <c r="N3" s="388" t="s">
        <v>1000</v>
      </c>
      <c r="O3" s="389"/>
      <c r="P3" s="388" t="s">
        <v>1001</v>
      </c>
      <c r="Q3" s="389"/>
      <c r="R3" s="388" t="s">
        <v>1196</v>
      </c>
      <c r="S3" s="394"/>
      <c r="T3" s="388" t="s">
        <v>1002</v>
      </c>
      <c r="U3" s="394"/>
    </row>
    <row r="4" spans="1:21" ht="19.95" customHeight="1" thickBot="1">
      <c r="A4" s="136"/>
      <c r="B4" s="139" t="s">
        <v>548</v>
      </c>
      <c r="C4" s="140" t="s">
        <v>549</v>
      </c>
      <c r="D4" s="139" t="s">
        <v>548</v>
      </c>
      <c r="E4" s="140" t="s">
        <v>549</v>
      </c>
      <c r="F4" s="139" t="s">
        <v>550</v>
      </c>
      <c r="G4" s="140" t="s">
        <v>549</v>
      </c>
      <c r="H4" s="139" t="s">
        <v>548</v>
      </c>
      <c r="I4" s="140" t="s">
        <v>549</v>
      </c>
      <c r="J4" s="139" t="s">
        <v>548</v>
      </c>
      <c r="K4" s="140" t="s">
        <v>549</v>
      </c>
      <c r="L4" s="141" t="s">
        <v>550</v>
      </c>
      <c r="M4" s="140" t="s">
        <v>549</v>
      </c>
      <c r="N4" s="141" t="s">
        <v>550</v>
      </c>
      <c r="O4" s="140" t="s">
        <v>549</v>
      </c>
      <c r="P4" s="142" t="s">
        <v>550</v>
      </c>
      <c r="Q4" s="140" t="s">
        <v>549</v>
      </c>
      <c r="R4" s="142" t="s">
        <v>550</v>
      </c>
      <c r="S4" s="140" t="s">
        <v>549</v>
      </c>
      <c r="T4" s="142" t="s">
        <v>550</v>
      </c>
      <c r="U4" s="140" t="s">
        <v>549</v>
      </c>
    </row>
    <row r="5" spans="1:21">
      <c r="A5" s="145"/>
      <c r="B5" s="146" t="s">
        <v>1003</v>
      </c>
      <c r="C5" s="144" t="s">
        <v>552</v>
      </c>
      <c r="D5" s="146" t="s">
        <v>1003</v>
      </c>
      <c r="E5" s="144" t="s">
        <v>552</v>
      </c>
      <c r="F5" s="143" t="s">
        <v>1004</v>
      </c>
      <c r="G5" s="144" t="s">
        <v>553</v>
      </c>
      <c r="H5" s="146" t="s">
        <v>1004</v>
      </c>
      <c r="I5" s="144" t="s">
        <v>553</v>
      </c>
      <c r="J5" s="146" t="s">
        <v>357</v>
      </c>
      <c r="K5" s="144" t="s">
        <v>554</v>
      </c>
      <c r="L5" s="146" t="s">
        <v>357</v>
      </c>
      <c r="M5" s="144" t="s">
        <v>554</v>
      </c>
      <c r="N5" s="146" t="s">
        <v>357</v>
      </c>
      <c r="O5" s="144" t="s">
        <v>554</v>
      </c>
      <c r="P5" s="147" t="s">
        <v>555</v>
      </c>
      <c r="Q5" s="144" t="s">
        <v>556</v>
      </c>
      <c r="R5" s="146" t="s">
        <v>555</v>
      </c>
      <c r="S5" s="144" t="s">
        <v>556</v>
      </c>
      <c r="T5" s="146" t="s">
        <v>557</v>
      </c>
      <c r="U5" s="148" t="s">
        <v>558</v>
      </c>
    </row>
    <row r="6" spans="1:21">
      <c r="A6" s="145"/>
      <c r="B6" s="146" t="s">
        <v>1005</v>
      </c>
      <c r="C6" s="148" t="s">
        <v>1006</v>
      </c>
      <c r="D6" s="146" t="s">
        <v>1005</v>
      </c>
      <c r="E6" s="148" t="s">
        <v>1006</v>
      </c>
      <c r="F6" s="146" t="s">
        <v>1005</v>
      </c>
      <c r="G6" s="148" t="s">
        <v>1006</v>
      </c>
      <c r="H6" s="146" t="s">
        <v>1005</v>
      </c>
      <c r="I6" s="148" t="s">
        <v>1006</v>
      </c>
      <c r="J6" s="146" t="s">
        <v>555</v>
      </c>
      <c r="K6" s="148" t="s">
        <v>556</v>
      </c>
      <c r="L6" s="146" t="s">
        <v>555</v>
      </c>
      <c r="M6" s="148" t="s">
        <v>556</v>
      </c>
      <c r="N6" s="146" t="s">
        <v>555</v>
      </c>
      <c r="O6" s="148" t="s">
        <v>556</v>
      </c>
      <c r="P6" s="146" t="s">
        <v>562</v>
      </c>
      <c r="Q6" s="148" t="s">
        <v>563</v>
      </c>
      <c r="R6" s="146" t="s">
        <v>562</v>
      </c>
      <c r="S6" s="148" t="s">
        <v>563</v>
      </c>
      <c r="T6" s="146" t="s">
        <v>564</v>
      </c>
      <c r="U6" s="148" t="s">
        <v>565</v>
      </c>
    </row>
    <row r="7" spans="1:21">
      <c r="A7" s="145"/>
      <c r="B7" s="146" t="s">
        <v>559</v>
      </c>
      <c r="C7" s="148" t="s">
        <v>560</v>
      </c>
      <c r="D7" s="146" t="s">
        <v>559</v>
      </c>
      <c r="E7" s="148" t="s">
        <v>560</v>
      </c>
      <c r="F7" s="146" t="s">
        <v>559</v>
      </c>
      <c r="G7" s="148" t="s">
        <v>561</v>
      </c>
      <c r="H7" s="146" t="s">
        <v>559</v>
      </c>
      <c r="I7" s="148" t="s">
        <v>561</v>
      </c>
      <c r="J7" s="146" t="s">
        <v>1007</v>
      </c>
      <c r="K7" s="148" t="s">
        <v>568</v>
      </c>
      <c r="L7" s="146" t="s">
        <v>1008</v>
      </c>
      <c r="M7" s="148" t="s">
        <v>568</v>
      </c>
      <c r="N7" s="146" t="s">
        <v>562</v>
      </c>
      <c r="O7" s="148" t="s">
        <v>569</v>
      </c>
      <c r="P7" s="147" t="s">
        <v>557</v>
      </c>
      <c r="Q7" s="148" t="s">
        <v>558</v>
      </c>
      <c r="R7" s="146" t="s">
        <v>557</v>
      </c>
      <c r="S7" s="148" t="s">
        <v>558</v>
      </c>
      <c r="T7" s="146" t="s">
        <v>570</v>
      </c>
      <c r="U7" s="148" t="s">
        <v>571</v>
      </c>
    </row>
    <row r="8" spans="1:21">
      <c r="A8" s="145"/>
      <c r="B8" s="146" t="s">
        <v>357</v>
      </c>
      <c r="C8" s="148" t="s">
        <v>566</v>
      </c>
      <c r="D8" s="146" t="s">
        <v>357</v>
      </c>
      <c r="E8" s="148" t="s">
        <v>566</v>
      </c>
      <c r="F8" s="146" t="s">
        <v>357</v>
      </c>
      <c r="G8" s="148" t="s">
        <v>554</v>
      </c>
      <c r="H8" s="146" t="s">
        <v>357</v>
      </c>
      <c r="I8" s="148" t="s">
        <v>554</v>
      </c>
      <c r="J8" s="146" t="s">
        <v>1009</v>
      </c>
      <c r="K8" s="148" t="s">
        <v>1010</v>
      </c>
      <c r="L8" s="146" t="s">
        <v>562</v>
      </c>
      <c r="M8" s="148" t="s">
        <v>563</v>
      </c>
      <c r="N8" s="146" t="s">
        <v>573</v>
      </c>
      <c r="O8" s="148" t="s">
        <v>574</v>
      </c>
      <c r="P8" s="146" t="s">
        <v>564</v>
      </c>
      <c r="Q8" s="148" t="s">
        <v>565</v>
      </c>
      <c r="R8" s="146" t="s">
        <v>564</v>
      </c>
      <c r="S8" s="148" t="s">
        <v>565</v>
      </c>
      <c r="T8" s="147" t="s">
        <v>575</v>
      </c>
      <c r="U8" s="148" t="s">
        <v>576</v>
      </c>
    </row>
    <row r="9" spans="1:21">
      <c r="A9" s="145"/>
      <c r="B9" s="146" t="s">
        <v>555</v>
      </c>
      <c r="C9" s="148" t="s">
        <v>572</v>
      </c>
      <c r="D9" s="146" t="s">
        <v>555</v>
      </c>
      <c r="E9" s="148" t="s">
        <v>572</v>
      </c>
      <c r="F9" s="146" t="s">
        <v>555</v>
      </c>
      <c r="G9" s="148" t="s">
        <v>556</v>
      </c>
      <c r="H9" s="146" t="s">
        <v>555</v>
      </c>
      <c r="I9" s="148" t="s">
        <v>556</v>
      </c>
      <c r="J9" s="146" t="s">
        <v>1011</v>
      </c>
      <c r="K9" s="148" t="s">
        <v>1012</v>
      </c>
      <c r="L9" s="146" t="s">
        <v>573</v>
      </c>
      <c r="M9" s="148" t="s">
        <v>574</v>
      </c>
      <c r="N9" s="146" t="s">
        <v>557</v>
      </c>
      <c r="O9" s="148" t="s">
        <v>558</v>
      </c>
      <c r="P9" s="146" t="s">
        <v>577</v>
      </c>
      <c r="Q9" s="148" t="s">
        <v>578</v>
      </c>
      <c r="R9" s="146" t="s">
        <v>570</v>
      </c>
      <c r="S9" s="148" t="s">
        <v>571</v>
      </c>
      <c r="T9" s="146" t="s">
        <v>579</v>
      </c>
      <c r="U9" s="148" t="s">
        <v>580</v>
      </c>
    </row>
    <row r="10" spans="1:21">
      <c r="A10" s="145"/>
      <c r="B10" s="146" t="s">
        <v>567</v>
      </c>
      <c r="C10" s="148" t="s">
        <v>568</v>
      </c>
      <c r="D10" s="146" t="s">
        <v>567</v>
      </c>
      <c r="E10" s="148" t="s">
        <v>568</v>
      </c>
      <c r="F10" s="146" t="s">
        <v>567</v>
      </c>
      <c r="G10" s="148" t="s">
        <v>568</v>
      </c>
      <c r="H10" s="146" t="s">
        <v>567</v>
      </c>
      <c r="I10" s="148" t="s">
        <v>568</v>
      </c>
      <c r="J10" s="146" t="s">
        <v>1013</v>
      </c>
      <c r="K10" s="148" t="s">
        <v>1014</v>
      </c>
      <c r="L10" s="146" t="s">
        <v>557</v>
      </c>
      <c r="M10" s="148" t="s">
        <v>558</v>
      </c>
      <c r="N10" s="146" t="s">
        <v>564</v>
      </c>
      <c r="O10" s="148" t="s">
        <v>565</v>
      </c>
      <c r="P10" s="146" t="s">
        <v>583</v>
      </c>
      <c r="Q10" s="148" t="s">
        <v>584</v>
      </c>
      <c r="R10" s="146" t="s">
        <v>575</v>
      </c>
      <c r="S10" s="148" t="s">
        <v>576</v>
      </c>
      <c r="T10" s="146" t="s">
        <v>585</v>
      </c>
      <c r="U10" s="148" t="s">
        <v>586</v>
      </c>
    </row>
    <row r="11" spans="1:21">
      <c r="A11" s="145"/>
      <c r="B11" s="146" t="s">
        <v>1009</v>
      </c>
      <c r="C11" s="148" t="s">
        <v>1010</v>
      </c>
      <c r="D11" s="146" t="s">
        <v>1009</v>
      </c>
      <c r="E11" s="148" t="s">
        <v>1010</v>
      </c>
      <c r="F11" s="146" t="s">
        <v>1009</v>
      </c>
      <c r="G11" s="148" t="s">
        <v>1010</v>
      </c>
      <c r="H11" s="146" t="s">
        <v>1009</v>
      </c>
      <c r="I11" s="148" t="s">
        <v>1010</v>
      </c>
      <c r="J11" s="146" t="s">
        <v>562</v>
      </c>
      <c r="K11" s="148" t="s">
        <v>563</v>
      </c>
      <c r="L11" s="146" t="s">
        <v>564</v>
      </c>
      <c r="M11" s="148" t="s">
        <v>565</v>
      </c>
      <c r="N11" s="146" t="s">
        <v>577</v>
      </c>
      <c r="O11" s="148" t="s">
        <v>578</v>
      </c>
      <c r="P11" s="147" t="s">
        <v>570</v>
      </c>
      <c r="Q11" s="148" t="s">
        <v>571</v>
      </c>
      <c r="R11" s="146" t="s">
        <v>579</v>
      </c>
      <c r="S11" s="148" t="s">
        <v>580</v>
      </c>
      <c r="T11" s="146" t="s">
        <v>587</v>
      </c>
      <c r="U11" s="148" t="s">
        <v>588</v>
      </c>
    </row>
    <row r="12" spans="1:21">
      <c r="A12" s="145"/>
      <c r="B12" s="146" t="s">
        <v>1011</v>
      </c>
      <c r="C12" s="148" t="s">
        <v>1012</v>
      </c>
      <c r="D12" s="146" t="s">
        <v>1011</v>
      </c>
      <c r="E12" s="148" t="s">
        <v>1012</v>
      </c>
      <c r="F12" s="146" t="s">
        <v>1011</v>
      </c>
      <c r="G12" s="148" t="s">
        <v>1012</v>
      </c>
      <c r="H12" s="146" t="s">
        <v>1011</v>
      </c>
      <c r="I12" s="148" t="s">
        <v>1012</v>
      </c>
      <c r="J12" s="146" t="s">
        <v>573</v>
      </c>
      <c r="K12" s="148" t="s">
        <v>574</v>
      </c>
      <c r="L12" s="146" t="s">
        <v>577</v>
      </c>
      <c r="M12" s="148" t="s">
        <v>578</v>
      </c>
      <c r="N12" s="146" t="s">
        <v>589</v>
      </c>
      <c r="O12" s="148" t="s">
        <v>590</v>
      </c>
      <c r="P12" s="147" t="s">
        <v>575</v>
      </c>
      <c r="Q12" s="148" t="s">
        <v>576</v>
      </c>
      <c r="R12" s="146" t="s">
        <v>585</v>
      </c>
      <c r="S12" s="148" t="s">
        <v>586</v>
      </c>
      <c r="T12" s="146" t="s">
        <v>591</v>
      </c>
      <c r="U12" s="148" t="s">
        <v>592</v>
      </c>
    </row>
    <row r="13" spans="1:21">
      <c r="A13" s="145"/>
      <c r="B13" s="146" t="s">
        <v>1013</v>
      </c>
      <c r="C13" s="148" t="s">
        <v>1014</v>
      </c>
      <c r="D13" s="146" t="s">
        <v>1013</v>
      </c>
      <c r="E13" s="148" t="s">
        <v>1014</v>
      </c>
      <c r="F13" s="146" t="s">
        <v>1013</v>
      </c>
      <c r="G13" s="148" t="s">
        <v>1014</v>
      </c>
      <c r="H13" s="146" t="s">
        <v>1013</v>
      </c>
      <c r="I13" s="148" t="s">
        <v>1014</v>
      </c>
      <c r="J13" s="146" t="s">
        <v>557</v>
      </c>
      <c r="K13" s="148" t="s">
        <v>558</v>
      </c>
      <c r="L13" s="146" t="s">
        <v>589</v>
      </c>
      <c r="M13" s="148" t="s">
        <v>590</v>
      </c>
      <c r="N13" s="146" t="s">
        <v>583</v>
      </c>
      <c r="O13" s="148" t="s">
        <v>584</v>
      </c>
      <c r="P13" s="146" t="s">
        <v>579</v>
      </c>
      <c r="Q13" s="148" t="s">
        <v>580</v>
      </c>
      <c r="R13" s="146" t="s">
        <v>587</v>
      </c>
      <c r="S13" s="148" t="s">
        <v>588</v>
      </c>
      <c r="T13" s="146" t="s">
        <v>595</v>
      </c>
      <c r="U13" s="151" t="s">
        <v>596</v>
      </c>
    </row>
    <row r="14" spans="1:21">
      <c r="A14" s="145"/>
      <c r="B14" s="146" t="s">
        <v>581</v>
      </c>
      <c r="C14" s="148" t="s">
        <v>582</v>
      </c>
      <c r="D14" s="146" t="s">
        <v>581</v>
      </c>
      <c r="E14" s="148" t="s">
        <v>582</v>
      </c>
      <c r="F14" s="149" t="s">
        <v>581</v>
      </c>
      <c r="G14" s="150" t="s">
        <v>582</v>
      </c>
      <c r="H14" s="149" t="s">
        <v>581</v>
      </c>
      <c r="I14" s="150" t="s">
        <v>582</v>
      </c>
      <c r="J14" s="146" t="s">
        <v>564</v>
      </c>
      <c r="K14" s="148" t="s">
        <v>565</v>
      </c>
      <c r="L14" s="146" t="s">
        <v>583</v>
      </c>
      <c r="M14" s="148" t="s">
        <v>584</v>
      </c>
      <c r="N14" s="146" t="s">
        <v>570</v>
      </c>
      <c r="O14" s="148" t="s">
        <v>571</v>
      </c>
      <c r="P14" s="146" t="s">
        <v>585</v>
      </c>
      <c r="Q14" s="148" t="s">
        <v>586</v>
      </c>
      <c r="R14" s="146" t="s">
        <v>591</v>
      </c>
      <c r="S14" s="148" t="s">
        <v>592</v>
      </c>
      <c r="T14" s="146" t="s">
        <v>600</v>
      </c>
      <c r="U14" s="151" t="s">
        <v>601</v>
      </c>
    </row>
    <row r="15" spans="1:21">
      <c r="A15" s="145"/>
      <c r="B15" s="146" t="s">
        <v>562</v>
      </c>
      <c r="C15" s="148" t="s">
        <v>563</v>
      </c>
      <c r="D15" s="146" t="s">
        <v>562</v>
      </c>
      <c r="E15" s="148" t="s">
        <v>563</v>
      </c>
      <c r="F15" s="146" t="s">
        <v>562</v>
      </c>
      <c r="G15" s="148" t="s">
        <v>563</v>
      </c>
      <c r="H15" s="146" t="s">
        <v>562</v>
      </c>
      <c r="I15" s="148" t="s">
        <v>563</v>
      </c>
      <c r="J15" s="146" t="s">
        <v>577</v>
      </c>
      <c r="K15" s="148" t="s">
        <v>578</v>
      </c>
      <c r="L15" s="146" t="s">
        <v>570</v>
      </c>
      <c r="M15" s="148" t="s">
        <v>571</v>
      </c>
      <c r="N15" s="146" t="s">
        <v>575</v>
      </c>
      <c r="O15" s="148" t="s">
        <v>576</v>
      </c>
      <c r="P15" s="146" t="s">
        <v>602</v>
      </c>
      <c r="Q15" s="148" t="s">
        <v>603</v>
      </c>
      <c r="R15" s="146" t="s">
        <v>595</v>
      </c>
      <c r="S15" s="151" t="s">
        <v>596</v>
      </c>
      <c r="T15" s="274" t="s">
        <v>604</v>
      </c>
      <c r="U15" s="275" t="s">
        <v>1232</v>
      </c>
    </row>
    <row r="16" spans="1:21">
      <c r="A16" s="145"/>
      <c r="B16" s="146" t="s">
        <v>573</v>
      </c>
      <c r="C16" s="148" t="s">
        <v>574</v>
      </c>
      <c r="D16" s="146" t="s">
        <v>573</v>
      </c>
      <c r="E16" s="148" t="s">
        <v>574</v>
      </c>
      <c r="F16" s="146" t="s">
        <v>573</v>
      </c>
      <c r="G16" s="148" t="s">
        <v>574</v>
      </c>
      <c r="H16" s="146" t="s">
        <v>573</v>
      </c>
      <c r="I16" s="148" t="s">
        <v>574</v>
      </c>
      <c r="J16" s="146" t="s">
        <v>589</v>
      </c>
      <c r="K16" s="148" t="s">
        <v>590</v>
      </c>
      <c r="L16" s="146" t="s">
        <v>575</v>
      </c>
      <c r="M16" s="148" t="s">
        <v>576</v>
      </c>
      <c r="N16" s="146" t="s">
        <v>579</v>
      </c>
      <c r="O16" s="148" t="s">
        <v>580</v>
      </c>
      <c r="P16" s="146" t="s">
        <v>587</v>
      </c>
      <c r="Q16" s="148" t="s">
        <v>588</v>
      </c>
      <c r="R16" s="146" t="s">
        <v>600</v>
      </c>
      <c r="S16" s="151" t="s">
        <v>601</v>
      </c>
      <c r="T16" s="274" t="s">
        <v>605</v>
      </c>
      <c r="U16" s="275" t="s">
        <v>1233</v>
      </c>
    </row>
    <row r="17" spans="1:21">
      <c r="A17" s="145"/>
      <c r="B17" s="146" t="s">
        <v>593</v>
      </c>
      <c r="C17" s="148" t="s">
        <v>594</v>
      </c>
      <c r="D17" s="146" t="s">
        <v>593</v>
      </c>
      <c r="E17" s="148" t="s">
        <v>594</v>
      </c>
      <c r="F17" s="146" t="s">
        <v>593</v>
      </c>
      <c r="G17" s="148" t="s">
        <v>594</v>
      </c>
      <c r="H17" s="146" t="s">
        <v>593</v>
      </c>
      <c r="I17" s="148" t="s">
        <v>594</v>
      </c>
      <c r="J17" s="146" t="s">
        <v>583</v>
      </c>
      <c r="K17" s="148" t="s">
        <v>584</v>
      </c>
      <c r="L17" s="146" t="s">
        <v>606</v>
      </c>
      <c r="M17" s="148" t="s">
        <v>607</v>
      </c>
      <c r="N17" s="146" t="s">
        <v>585</v>
      </c>
      <c r="O17" s="148" t="s">
        <v>586</v>
      </c>
      <c r="P17" s="146" t="s">
        <v>591</v>
      </c>
      <c r="Q17" s="148" t="s">
        <v>592</v>
      </c>
      <c r="R17" s="274" t="s">
        <v>604</v>
      </c>
      <c r="S17" s="275" t="s">
        <v>1232</v>
      </c>
      <c r="T17" s="146" t="s">
        <v>608</v>
      </c>
      <c r="U17" s="148" t="s">
        <v>609</v>
      </c>
    </row>
    <row r="18" spans="1:21">
      <c r="A18" s="145"/>
      <c r="B18" s="146" t="s">
        <v>597</v>
      </c>
      <c r="C18" s="148" t="s">
        <v>598</v>
      </c>
      <c r="D18" s="146" t="s">
        <v>597</v>
      </c>
      <c r="E18" s="148" t="s">
        <v>598</v>
      </c>
      <c r="F18" s="146" t="s">
        <v>597</v>
      </c>
      <c r="G18" s="148" t="s">
        <v>599</v>
      </c>
      <c r="H18" s="146" t="s">
        <v>597</v>
      </c>
      <c r="I18" s="148" t="s">
        <v>599</v>
      </c>
      <c r="J18" s="146" t="s">
        <v>570</v>
      </c>
      <c r="K18" s="148" t="s">
        <v>571</v>
      </c>
      <c r="L18" s="146" t="s">
        <v>579</v>
      </c>
      <c r="M18" s="148" t="s">
        <v>580</v>
      </c>
      <c r="N18" s="146" t="s">
        <v>602</v>
      </c>
      <c r="O18" s="148" t="s">
        <v>603</v>
      </c>
      <c r="P18" s="146" t="s">
        <v>612</v>
      </c>
      <c r="Q18" s="148" t="s">
        <v>613</v>
      </c>
      <c r="R18" s="274" t="s">
        <v>605</v>
      </c>
      <c r="S18" s="275" t="s">
        <v>1233</v>
      </c>
      <c r="T18" s="146" t="s">
        <v>614</v>
      </c>
      <c r="U18" s="148" t="s">
        <v>615</v>
      </c>
    </row>
    <row r="19" spans="1:21">
      <c r="A19" s="145"/>
      <c r="B19" s="146" t="s">
        <v>557</v>
      </c>
      <c r="C19" s="148" t="s">
        <v>558</v>
      </c>
      <c r="D19" s="146" t="s">
        <v>557</v>
      </c>
      <c r="E19" s="148" t="s">
        <v>558</v>
      </c>
      <c r="F19" s="146" t="s">
        <v>557</v>
      </c>
      <c r="G19" s="148" t="s">
        <v>558</v>
      </c>
      <c r="H19" s="146" t="s">
        <v>557</v>
      </c>
      <c r="I19" s="148" t="s">
        <v>558</v>
      </c>
      <c r="J19" s="146" t="s">
        <v>575</v>
      </c>
      <c r="K19" s="148" t="s">
        <v>576</v>
      </c>
      <c r="L19" s="146" t="s">
        <v>585</v>
      </c>
      <c r="M19" s="148" t="s">
        <v>586</v>
      </c>
      <c r="N19" s="146" t="s">
        <v>587</v>
      </c>
      <c r="O19" s="152" t="s">
        <v>588</v>
      </c>
      <c r="P19" s="146" t="s">
        <v>595</v>
      </c>
      <c r="Q19" s="151" t="s">
        <v>596</v>
      </c>
      <c r="R19" s="146" t="s">
        <v>608</v>
      </c>
      <c r="S19" s="151" t="s">
        <v>609</v>
      </c>
      <c r="T19" s="146" t="s">
        <v>619</v>
      </c>
      <c r="U19" s="151" t="s">
        <v>620</v>
      </c>
    </row>
    <row r="20" spans="1:21">
      <c r="A20" s="145"/>
      <c r="B20" s="146" t="s">
        <v>564</v>
      </c>
      <c r="C20" s="148" t="s">
        <v>565</v>
      </c>
      <c r="D20" s="146" t="s">
        <v>564</v>
      </c>
      <c r="E20" s="148" t="s">
        <v>565</v>
      </c>
      <c r="F20" s="146" t="s">
        <v>564</v>
      </c>
      <c r="G20" s="148" t="s">
        <v>565</v>
      </c>
      <c r="H20" s="146" t="s">
        <v>564</v>
      </c>
      <c r="I20" s="148" t="s">
        <v>565</v>
      </c>
      <c r="J20" s="146" t="s">
        <v>606</v>
      </c>
      <c r="K20" s="148" t="s">
        <v>607</v>
      </c>
      <c r="L20" s="146" t="s">
        <v>602</v>
      </c>
      <c r="M20" s="148" t="s">
        <v>603</v>
      </c>
      <c r="N20" s="146" t="s">
        <v>591</v>
      </c>
      <c r="O20" s="152" t="s">
        <v>592</v>
      </c>
      <c r="P20" s="146" t="s">
        <v>600</v>
      </c>
      <c r="Q20" s="151" t="s">
        <v>601</v>
      </c>
      <c r="R20" s="146" t="s">
        <v>614</v>
      </c>
      <c r="S20" s="151" t="s">
        <v>615</v>
      </c>
      <c r="T20" s="146" t="s">
        <v>1060</v>
      </c>
      <c r="U20" s="151" t="s">
        <v>623</v>
      </c>
    </row>
    <row r="21" spans="1:21">
      <c r="A21" s="145"/>
      <c r="B21" s="146" t="s">
        <v>577</v>
      </c>
      <c r="C21" s="148" t="s">
        <v>578</v>
      </c>
      <c r="D21" s="146" t="s">
        <v>577</v>
      </c>
      <c r="E21" s="148" t="s">
        <v>578</v>
      </c>
      <c r="F21" s="146" t="s">
        <v>577</v>
      </c>
      <c r="G21" s="148" t="s">
        <v>578</v>
      </c>
      <c r="H21" s="146" t="s">
        <v>577</v>
      </c>
      <c r="I21" s="148" t="s">
        <v>578</v>
      </c>
      <c r="J21" s="146" t="s">
        <v>579</v>
      </c>
      <c r="K21" s="148" t="s">
        <v>580</v>
      </c>
      <c r="L21" s="146" t="s">
        <v>587</v>
      </c>
      <c r="M21" s="148" t="s">
        <v>588</v>
      </c>
      <c r="N21" s="146" t="s">
        <v>612</v>
      </c>
      <c r="O21" s="152" t="s">
        <v>613</v>
      </c>
      <c r="P21" s="146" t="s">
        <v>625</v>
      </c>
      <c r="Q21" s="151" t="s">
        <v>626</v>
      </c>
      <c r="R21" s="146" t="s">
        <v>619</v>
      </c>
      <c r="S21" s="151" t="s">
        <v>620</v>
      </c>
      <c r="T21" s="146" t="s">
        <v>627</v>
      </c>
      <c r="U21" s="151" t="s">
        <v>628</v>
      </c>
    </row>
    <row r="22" spans="1:21">
      <c r="A22" s="145"/>
      <c r="B22" s="146" t="s">
        <v>1061</v>
      </c>
      <c r="C22" s="148" t="s">
        <v>551</v>
      </c>
      <c r="D22" s="146" t="s">
        <v>1061</v>
      </c>
      <c r="E22" s="148" t="s">
        <v>551</v>
      </c>
      <c r="F22" s="146" t="s">
        <v>610</v>
      </c>
      <c r="G22" s="148" t="s">
        <v>611</v>
      </c>
      <c r="H22" s="146" t="s">
        <v>610</v>
      </c>
      <c r="I22" s="148" t="s">
        <v>611</v>
      </c>
      <c r="J22" s="146" t="s">
        <v>585</v>
      </c>
      <c r="K22" s="148" t="s">
        <v>586</v>
      </c>
      <c r="L22" s="146" t="s">
        <v>591</v>
      </c>
      <c r="M22" s="148" t="s">
        <v>592</v>
      </c>
      <c r="N22" s="146" t="s">
        <v>595</v>
      </c>
      <c r="O22" s="152" t="s">
        <v>596</v>
      </c>
      <c r="P22" s="274" t="s">
        <v>604</v>
      </c>
      <c r="Q22" s="275" t="s">
        <v>1232</v>
      </c>
      <c r="R22" s="146" t="s">
        <v>622</v>
      </c>
      <c r="S22" s="151" t="s">
        <v>623</v>
      </c>
      <c r="T22" s="146" t="s">
        <v>630</v>
      </c>
      <c r="U22" s="151" t="s">
        <v>631</v>
      </c>
    </row>
    <row r="23" spans="1:21">
      <c r="A23" s="145"/>
      <c r="B23" s="146" t="s">
        <v>1016</v>
      </c>
      <c r="C23" s="148" t="s">
        <v>1017</v>
      </c>
      <c r="D23" s="146" t="s">
        <v>1016</v>
      </c>
      <c r="E23" s="148" t="s">
        <v>1017</v>
      </c>
      <c r="F23" s="146" t="s">
        <v>618</v>
      </c>
      <c r="G23" s="148" t="s">
        <v>712</v>
      </c>
      <c r="H23" s="146" t="s">
        <v>618</v>
      </c>
      <c r="I23" s="148" t="s">
        <v>712</v>
      </c>
      <c r="J23" s="146" t="s">
        <v>602</v>
      </c>
      <c r="K23" s="148" t="s">
        <v>603</v>
      </c>
      <c r="L23" s="146" t="s">
        <v>612</v>
      </c>
      <c r="M23" s="148" t="s">
        <v>613</v>
      </c>
      <c r="N23" s="146" t="s">
        <v>600</v>
      </c>
      <c r="O23" s="152" t="s">
        <v>601</v>
      </c>
      <c r="P23" s="274" t="s">
        <v>605</v>
      </c>
      <c r="Q23" s="275" t="s">
        <v>1233</v>
      </c>
      <c r="R23" s="146" t="s">
        <v>627</v>
      </c>
      <c r="S23" s="151" t="s">
        <v>628</v>
      </c>
      <c r="T23" s="146" t="s">
        <v>633</v>
      </c>
      <c r="U23" s="148" t="s">
        <v>634</v>
      </c>
    </row>
    <row r="24" spans="1:21">
      <c r="A24" s="145"/>
      <c r="B24" s="146" t="s">
        <v>616</v>
      </c>
      <c r="C24" s="148" t="s">
        <v>617</v>
      </c>
      <c r="D24" s="146" t="s">
        <v>616</v>
      </c>
      <c r="E24" s="148" t="s">
        <v>617</v>
      </c>
      <c r="F24" s="146" t="s">
        <v>589</v>
      </c>
      <c r="G24" s="148" t="s">
        <v>590</v>
      </c>
      <c r="H24" s="146" t="s">
        <v>589</v>
      </c>
      <c r="I24" s="148" t="s">
        <v>590</v>
      </c>
      <c r="J24" s="146" t="s">
        <v>587</v>
      </c>
      <c r="K24" s="148" t="s">
        <v>588</v>
      </c>
      <c r="L24" s="146" t="s">
        <v>595</v>
      </c>
      <c r="M24" s="148" t="s">
        <v>596</v>
      </c>
      <c r="N24" s="146" t="s">
        <v>625</v>
      </c>
      <c r="O24" s="152" t="s">
        <v>626</v>
      </c>
      <c r="P24" s="274" t="s">
        <v>636</v>
      </c>
      <c r="Q24" s="275" t="s">
        <v>1234</v>
      </c>
      <c r="R24" s="146" t="s">
        <v>630</v>
      </c>
      <c r="S24" s="151" t="s">
        <v>631</v>
      </c>
      <c r="T24" s="146" t="s">
        <v>637</v>
      </c>
      <c r="U24" s="148" t="s">
        <v>638</v>
      </c>
    </row>
    <row r="25" spans="1:21">
      <c r="A25" s="145"/>
      <c r="B25" s="146" t="s">
        <v>610</v>
      </c>
      <c r="C25" s="148" t="s">
        <v>621</v>
      </c>
      <c r="D25" s="146" t="s">
        <v>610</v>
      </c>
      <c r="E25" s="148" t="s">
        <v>621</v>
      </c>
      <c r="F25" s="146" t="s">
        <v>583</v>
      </c>
      <c r="G25" s="148" t="s">
        <v>584</v>
      </c>
      <c r="H25" s="146" t="s">
        <v>583</v>
      </c>
      <c r="I25" s="148" t="s">
        <v>584</v>
      </c>
      <c r="J25" s="146" t="s">
        <v>591</v>
      </c>
      <c r="K25" s="148" t="s">
        <v>592</v>
      </c>
      <c r="L25" s="146" t="s">
        <v>600</v>
      </c>
      <c r="M25" s="148" t="s">
        <v>601</v>
      </c>
      <c r="N25" s="274" t="s">
        <v>604</v>
      </c>
      <c r="O25" s="275" t="s">
        <v>1232</v>
      </c>
      <c r="P25" s="146" t="s">
        <v>608</v>
      </c>
      <c r="Q25" s="148" t="s">
        <v>609</v>
      </c>
      <c r="R25" s="146" t="s">
        <v>633</v>
      </c>
      <c r="S25" s="148" t="s">
        <v>634</v>
      </c>
      <c r="T25" s="146" t="s">
        <v>713</v>
      </c>
      <c r="U25" s="148" t="s">
        <v>714</v>
      </c>
    </row>
    <row r="26" spans="1:21" ht="16.2" thickBot="1">
      <c r="A26" s="145"/>
      <c r="B26" s="146" t="s">
        <v>618</v>
      </c>
      <c r="C26" s="148" t="s">
        <v>624</v>
      </c>
      <c r="D26" s="146" t="s">
        <v>618</v>
      </c>
      <c r="E26" s="148" t="s">
        <v>624</v>
      </c>
      <c r="F26" s="146" t="s">
        <v>570</v>
      </c>
      <c r="G26" s="148" t="s">
        <v>571</v>
      </c>
      <c r="H26" s="146" t="s">
        <v>570</v>
      </c>
      <c r="I26" s="148" t="s">
        <v>571</v>
      </c>
      <c r="J26" s="146" t="s">
        <v>612</v>
      </c>
      <c r="K26" s="148" t="s">
        <v>613</v>
      </c>
      <c r="L26" s="146" t="s">
        <v>625</v>
      </c>
      <c r="M26" s="148" t="s">
        <v>626</v>
      </c>
      <c r="N26" s="274" t="s">
        <v>605</v>
      </c>
      <c r="O26" s="275" t="s">
        <v>1233</v>
      </c>
      <c r="P26" s="146" t="s">
        <v>614</v>
      </c>
      <c r="Q26" s="148" t="s">
        <v>615</v>
      </c>
      <c r="R26" s="146" t="s">
        <v>637</v>
      </c>
      <c r="S26" s="148" t="s">
        <v>638</v>
      </c>
      <c r="T26" s="153" t="s">
        <v>715</v>
      </c>
      <c r="U26" s="154" t="s">
        <v>716</v>
      </c>
    </row>
    <row r="27" spans="1:21">
      <c r="A27" s="145"/>
      <c r="B27" s="146" t="s">
        <v>589</v>
      </c>
      <c r="C27" s="148" t="s">
        <v>629</v>
      </c>
      <c r="D27" s="146" t="s">
        <v>589</v>
      </c>
      <c r="E27" s="148" t="s">
        <v>629</v>
      </c>
      <c r="F27" s="146" t="s">
        <v>575</v>
      </c>
      <c r="G27" s="148" t="s">
        <v>576</v>
      </c>
      <c r="H27" s="146" t="s">
        <v>575</v>
      </c>
      <c r="I27" s="148" t="s">
        <v>576</v>
      </c>
      <c r="J27" s="146" t="s">
        <v>595</v>
      </c>
      <c r="K27" s="148" t="s">
        <v>596</v>
      </c>
      <c r="L27" s="274" t="s">
        <v>604</v>
      </c>
      <c r="M27" s="275" t="s">
        <v>1232</v>
      </c>
      <c r="N27" s="274" t="s">
        <v>636</v>
      </c>
      <c r="O27" s="275" t="s">
        <v>1234</v>
      </c>
      <c r="P27" s="146" t="s">
        <v>641</v>
      </c>
      <c r="Q27" s="148" t="s">
        <v>642</v>
      </c>
      <c r="R27" s="146" t="s">
        <v>713</v>
      </c>
      <c r="S27" s="148" t="s">
        <v>714</v>
      </c>
    </row>
    <row r="28" spans="1:21" ht="16.2" thickBot="1">
      <c r="A28" s="145"/>
      <c r="B28" s="146" t="s">
        <v>583</v>
      </c>
      <c r="C28" s="148" t="s">
        <v>632</v>
      </c>
      <c r="D28" s="146" t="s">
        <v>583</v>
      </c>
      <c r="E28" s="148" t="s">
        <v>632</v>
      </c>
      <c r="F28" s="146" t="s">
        <v>606</v>
      </c>
      <c r="G28" s="148" t="s">
        <v>1062</v>
      </c>
      <c r="H28" s="146" t="s">
        <v>606</v>
      </c>
      <c r="I28" s="148" t="s">
        <v>607</v>
      </c>
      <c r="J28" s="146" t="s">
        <v>600</v>
      </c>
      <c r="K28" s="148" t="s">
        <v>601</v>
      </c>
      <c r="L28" s="274" t="s">
        <v>605</v>
      </c>
      <c r="M28" s="275" t="s">
        <v>1233</v>
      </c>
      <c r="N28" s="146" t="s">
        <v>608</v>
      </c>
      <c r="O28" s="152" t="s">
        <v>609</v>
      </c>
      <c r="P28" s="146" t="s">
        <v>644</v>
      </c>
      <c r="Q28" s="148" t="s">
        <v>620</v>
      </c>
      <c r="R28" s="153" t="s">
        <v>715</v>
      </c>
      <c r="S28" s="154" t="s">
        <v>716</v>
      </c>
    </row>
    <row r="29" spans="1:21">
      <c r="A29" s="145"/>
      <c r="B29" s="146" t="s">
        <v>570</v>
      </c>
      <c r="C29" s="148" t="s">
        <v>635</v>
      </c>
      <c r="D29" s="146" t="s">
        <v>570</v>
      </c>
      <c r="E29" s="148" t="s">
        <v>635</v>
      </c>
      <c r="F29" s="146" t="s">
        <v>579</v>
      </c>
      <c r="G29" s="148" t="s">
        <v>580</v>
      </c>
      <c r="H29" s="146" t="s">
        <v>579</v>
      </c>
      <c r="I29" s="148" t="s">
        <v>580</v>
      </c>
      <c r="J29" s="146" t="s">
        <v>625</v>
      </c>
      <c r="K29" s="148" t="s">
        <v>626</v>
      </c>
      <c r="L29" s="274" t="s">
        <v>636</v>
      </c>
      <c r="M29" s="275" t="s">
        <v>1234</v>
      </c>
      <c r="N29" s="146" t="s">
        <v>614</v>
      </c>
      <c r="O29" s="152" t="s">
        <v>615</v>
      </c>
      <c r="P29" s="146" t="s">
        <v>646</v>
      </c>
      <c r="Q29" s="148" t="s">
        <v>623</v>
      </c>
    </row>
    <row r="30" spans="1:21">
      <c r="A30" s="145"/>
      <c r="B30" s="146" t="s">
        <v>575</v>
      </c>
      <c r="C30" s="148" t="s">
        <v>639</v>
      </c>
      <c r="D30" s="146" t="s">
        <v>575</v>
      </c>
      <c r="E30" s="148" t="s">
        <v>639</v>
      </c>
      <c r="F30" s="146" t="s">
        <v>585</v>
      </c>
      <c r="G30" s="148" t="s">
        <v>586</v>
      </c>
      <c r="H30" s="146" t="s">
        <v>585</v>
      </c>
      <c r="I30" s="148" t="s">
        <v>586</v>
      </c>
      <c r="J30" s="274" t="s">
        <v>604</v>
      </c>
      <c r="K30" s="275" t="s">
        <v>1232</v>
      </c>
      <c r="L30" s="146" t="s">
        <v>608</v>
      </c>
      <c r="M30" s="148" t="s">
        <v>609</v>
      </c>
      <c r="N30" s="146" t="s">
        <v>641</v>
      </c>
      <c r="O30" s="152" t="s">
        <v>642</v>
      </c>
      <c r="P30" s="146" t="s">
        <v>648</v>
      </c>
      <c r="Q30" s="148" t="s">
        <v>649</v>
      </c>
    </row>
    <row r="31" spans="1:21">
      <c r="A31" s="145"/>
      <c r="B31" s="146" t="s">
        <v>606</v>
      </c>
      <c r="C31" s="148" t="s">
        <v>607</v>
      </c>
      <c r="D31" s="146" t="s">
        <v>606</v>
      </c>
      <c r="E31" s="148" t="s">
        <v>607</v>
      </c>
      <c r="F31" s="146" t="s">
        <v>602</v>
      </c>
      <c r="G31" s="148" t="s">
        <v>603</v>
      </c>
      <c r="H31" s="146" t="s">
        <v>602</v>
      </c>
      <c r="I31" s="148" t="s">
        <v>603</v>
      </c>
      <c r="J31" s="274" t="s">
        <v>605</v>
      </c>
      <c r="K31" s="275" t="s">
        <v>1233</v>
      </c>
      <c r="L31" s="146" t="s">
        <v>614</v>
      </c>
      <c r="M31" s="148" t="s">
        <v>615</v>
      </c>
      <c r="N31" s="146" t="s">
        <v>644</v>
      </c>
      <c r="O31" s="148" t="s">
        <v>620</v>
      </c>
      <c r="P31" s="146" t="s">
        <v>627</v>
      </c>
      <c r="Q31" s="148" t="s">
        <v>628</v>
      </c>
    </row>
    <row r="32" spans="1:21">
      <c r="A32" s="145"/>
      <c r="B32" s="146" t="s">
        <v>579</v>
      </c>
      <c r="C32" s="148" t="s">
        <v>640</v>
      </c>
      <c r="D32" s="146" t="s">
        <v>579</v>
      </c>
      <c r="E32" s="148" t="s">
        <v>640</v>
      </c>
      <c r="F32" s="146" t="s">
        <v>587</v>
      </c>
      <c r="G32" s="148" t="s">
        <v>588</v>
      </c>
      <c r="H32" s="146" t="s">
        <v>587</v>
      </c>
      <c r="I32" s="148" t="s">
        <v>588</v>
      </c>
      <c r="J32" s="274" t="s">
        <v>636</v>
      </c>
      <c r="K32" s="275" t="s">
        <v>1234</v>
      </c>
      <c r="L32" s="146" t="s">
        <v>641</v>
      </c>
      <c r="M32" s="148" t="s">
        <v>642</v>
      </c>
      <c r="N32" s="146" t="s">
        <v>646</v>
      </c>
      <c r="O32" s="148" t="s">
        <v>623</v>
      </c>
      <c r="P32" s="146" t="s">
        <v>630</v>
      </c>
      <c r="Q32" s="148" t="s">
        <v>631</v>
      </c>
    </row>
    <row r="33" spans="1:21">
      <c r="A33" s="145"/>
      <c r="B33" s="146" t="s">
        <v>585</v>
      </c>
      <c r="C33" s="148" t="s">
        <v>643</v>
      </c>
      <c r="D33" s="146" t="s">
        <v>585</v>
      </c>
      <c r="E33" s="148" t="s">
        <v>643</v>
      </c>
      <c r="F33" s="146" t="s">
        <v>591</v>
      </c>
      <c r="G33" s="148" t="s">
        <v>592</v>
      </c>
      <c r="H33" s="146" t="s">
        <v>591</v>
      </c>
      <c r="I33" s="148" t="s">
        <v>592</v>
      </c>
      <c r="J33" s="146" t="s">
        <v>608</v>
      </c>
      <c r="K33" s="148" t="s">
        <v>609</v>
      </c>
      <c r="L33" s="146" t="s">
        <v>644</v>
      </c>
      <c r="M33" s="148" t="s">
        <v>620</v>
      </c>
      <c r="N33" s="146" t="s">
        <v>648</v>
      </c>
      <c r="O33" s="148" t="s">
        <v>649</v>
      </c>
      <c r="P33" s="146" t="s">
        <v>652</v>
      </c>
      <c r="Q33" s="148" t="s">
        <v>653</v>
      </c>
    </row>
    <row r="34" spans="1:21">
      <c r="A34" s="145"/>
      <c r="B34" s="146" t="s">
        <v>602</v>
      </c>
      <c r="C34" s="148" t="s">
        <v>645</v>
      </c>
      <c r="D34" s="146" t="s">
        <v>602</v>
      </c>
      <c r="E34" s="148" t="s">
        <v>645</v>
      </c>
      <c r="F34" s="146" t="s">
        <v>612</v>
      </c>
      <c r="G34" s="148" t="s">
        <v>613</v>
      </c>
      <c r="H34" s="146" t="s">
        <v>612</v>
      </c>
      <c r="I34" s="148" t="s">
        <v>613</v>
      </c>
      <c r="J34" s="146" t="s">
        <v>614</v>
      </c>
      <c r="K34" s="148" t="s">
        <v>615</v>
      </c>
      <c r="L34" s="146" t="s">
        <v>646</v>
      </c>
      <c r="M34" s="148" t="s">
        <v>623</v>
      </c>
      <c r="N34" s="146" t="s">
        <v>627</v>
      </c>
      <c r="O34" s="148" t="s">
        <v>628</v>
      </c>
      <c r="P34" s="146" t="s">
        <v>633</v>
      </c>
      <c r="Q34" s="148" t="s">
        <v>634</v>
      </c>
    </row>
    <row r="35" spans="1:21">
      <c r="A35" s="145"/>
      <c r="B35" s="146" t="s">
        <v>587</v>
      </c>
      <c r="C35" s="148" t="s">
        <v>647</v>
      </c>
      <c r="D35" s="146" t="s">
        <v>587</v>
      </c>
      <c r="E35" s="148" t="s">
        <v>647</v>
      </c>
      <c r="F35" s="146" t="s">
        <v>595</v>
      </c>
      <c r="G35" s="148" t="s">
        <v>596</v>
      </c>
      <c r="H35" s="146" t="s">
        <v>595</v>
      </c>
      <c r="I35" s="152" t="s">
        <v>596</v>
      </c>
      <c r="J35" s="146" t="s">
        <v>641</v>
      </c>
      <c r="K35" s="148" t="s">
        <v>642</v>
      </c>
      <c r="L35" s="146" t="s">
        <v>648</v>
      </c>
      <c r="M35" s="148" t="s">
        <v>649</v>
      </c>
      <c r="N35" s="146" t="s">
        <v>630</v>
      </c>
      <c r="O35" s="148" t="s">
        <v>631</v>
      </c>
      <c r="P35" s="147" t="s">
        <v>637</v>
      </c>
      <c r="Q35" s="148" t="s">
        <v>638</v>
      </c>
    </row>
    <row r="36" spans="1:21">
      <c r="A36" s="145"/>
      <c r="B36" s="146" t="s">
        <v>591</v>
      </c>
      <c r="C36" s="148" t="s">
        <v>650</v>
      </c>
      <c r="D36" s="146" t="s">
        <v>591</v>
      </c>
      <c r="E36" s="148" t="s">
        <v>650</v>
      </c>
      <c r="F36" s="146" t="s">
        <v>600</v>
      </c>
      <c r="G36" s="148" t="s">
        <v>601</v>
      </c>
      <c r="H36" s="146" t="s">
        <v>600</v>
      </c>
      <c r="I36" s="152" t="s">
        <v>601</v>
      </c>
      <c r="J36" s="146" t="s">
        <v>644</v>
      </c>
      <c r="K36" s="148" t="s">
        <v>620</v>
      </c>
      <c r="L36" s="146" t="s">
        <v>627</v>
      </c>
      <c r="M36" s="148" t="s">
        <v>628</v>
      </c>
      <c r="N36" s="146" t="s">
        <v>652</v>
      </c>
      <c r="O36" s="148" t="s">
        <v>653</v>
      </c>
      <c r="P36" s="147" t="s">
        <v>654</v>
      </c>
      <c r="Q36" s="148" t="s">
        <v>655</v>
      </c>
    </row>
    <row r="37" spans="1:21">
      <c r="A37" s="145"/>
      <c r="B37" s="146" t="s">
        <v>612</v>
      </c>
      <c r="C37" s="148" t="s">
        <v>651</v>
      </c>
      <c r="D37" s="146" t="s">
        <v>612</v>
      </c>
      <c r="E37" s="148" t="s">
        <v>651</v>
      </c>
      <c r="F37" s="146" t="s">
        <v>625</v>
      </c>
      <c r="G37" s="148" t="s">
        <v>626</v>
      </c>
      <c r="H37" s="146" t="s">
        <v>625</v>
      </c>
      <c r="I37" s="152" t="s">
        <v>626</v>
      </c>
      <c r="J37" s="146" t="s">
        <v>646</v>
      </c>
      <c r="K37" s="148" t="s">
        <v>623</v>
      </c>
      <c r="L37" s="146" t="s">
        <v>630</v>
      </c>
      <c r="M37" s="148" t="s">
        <v>631</v>
      </c>
      <c r="N37" s="146" t="s">
        <v>633</v>
      </c>
      <c r="O37" s="148" t="s">
        <v>634</v>
      </c>
      <c r="P37" s="147" t="s">
        <v>713</v>
      </c>
      <c r="Q37" s="148" t="s">
        <v>714</v>
      </c>
    </row>
    <row r="38" spans="1:21">
      <c r="A38" s="145"/>
      <c r="B38" s="146" t="s">
        <v>595</v>
      </c>
      <c r="C38" s="148" t="s">
        <v>596</v>
      </c>
      <c r="D38" s="146" t="s">
        <v>595</v>
      </c>
      <c r="E38" s="148" t="s">
        <v>596</v>
      </c>
      <c r="F38" s="274" t="s">
        <v>604</v>
      </c>
      <c r="G38" s="275" t="s">
        <v>1232</v>
      </c>
      <c r="H38" s="274" t="s">
        <v>604</v>
      </c>
      <c r="I38" s="275" t="s">
        <v>1232</v>
      </c>
      <c r="J38" s="146" t="s">
        <v>648</v>
      </c>
      <c r="K38" s="148" t="s">
        <v>649</v>
      </c>
      <c r="L38" s="146" t="s">
        <v>652</v>
      </c>
      <c r="M38" s="148" t="s">
        <v>653</v>
      </c>
      <c r="N38" s="146" t="s">
        <v>637</v>
      </c>
      <c r="O38" s="148" t="s">
        <v>638</v>
      </c>
      <c r="P38" s="147" t="s">
        <v>715</v>
      </c>
      <c r="Q38" s="148" t="s">
        <v>716</v>
      </c>
    </row>
    <row r="39" spans="1:21" ht="16.2" thickBot="1">
      <c r="A39" s="145"/>
      <c r="B39" s="146" t="s">
        <v>600</v>
      </c>
      <c r="C39" s="148" t="s">
        <v>601</v>
      </c>
      <c r="D39" s="146" t="s">
        <v>600</v>
      </c>
      <c r="E39" s="148" t="s">
        <v>601</v>
      </c>
      <c r="F39" s="274" t="s">
        <v>605</v>
      </c>
      <c r="G39" s="275" t="s">
        <v>1233</v>
      </c>
      <c r="H39" s="274" t="s">
        <v>605</v>
      </c>
      <c r="I39" s="275" t="s">
        <v>1233</v>
      </c>
      <c r="J39" s="146" t="s">
        <v>627</v>
      </c>
      <c r="K39" s="148" t="s">
        <v>628</v>
      </c>
      <c r="L39" s="146" t="s">
        <v>633</v>
      </c>
      <c r="M39" s="148" t="s">
        <v>634</v>
      </c>
      <c r="N39" s="146" t="s">
        <v>654</v>
      </c>
      <c r="O39" s="148" t="s">
        <v>655</v>
      </c>
      <c r="P39" s="284" t="s">
        <v>717</v>
      </c>
      <c r="Q39" s="154" t="s">
        <v>718</v>
      </c>
    </row>
    <row r="40" spans="1:21">
      <c r="A40" s="145"/>
      <c r="B40" s="146" t="s">
        <v>625</v>
      </c>
      <c r="C40" s="148" t="s">
        <v>626</v>
      </c>
      <c r="D40" s="146" t="s">
        <v>625</v>
      </c>
      <c r="E40" s="148" t="s">
        <v>626</v>
      </c>
      <c r="F40" s="274" t="s">
        <v>636</v>
      </c>
      <c r="G40" s="275" t="s">
        <v>1234</v>
      </c>
      <c r="H40" s="274" t="s">
        <v>636</v>
      </c>
      <c r="I40" s="275" t="s">
        <v>1234</v>
      </c>
      <c r="J40" s="146" t="s">
        <v>630</v>
      </c>
      <c r="K40" s="148" t="s">
        <v>631</v>
      </c>
      <c r="L40" s="146" t="s">
        <v>637</v>
      </c>
      <c r="M40" s="148" t="s">
        <v>638</v>
      </c>
      <c r="N40" s="146" t="s">
        <v>713</v>
      </c>
      <c r="O40" s="148" t="s">
        <v>714</v>
      </c>
    </row>
    <row r="41" spans="1:21">
      <c r="A41" s="145"/>
      <c r="B41" s="274" t="s">
        <v>604</v>
      </c>
      <c r="C41" s="275" t="s">
        <v>1232</v>
      </c>
      <c r="D41" s="274" t="s">
        <v>604</v>
      </c>
      <c r="E41" s="275" t="s">
        <v>1232</v>
      </c>
      <c r="F41" s="146" t="s">
        <v>608</v>
      </c>
      <c r="G41" s="148" t="s">
        <v>609</v>
      </c>
      <c r="H41" s="146" t="s">
        <v>608</v>
      </c>
      <c r="I41" s="152" t="s">
        <v>609</v>
      </c>
      <c r="J41" s="146" t="s">
        <v>652</v>
      </c>
      <c r="K41" s="148" t="s">
        <v>653</v>
      </c>
      <c r="L41" s="146" t="s">
        <v>654</v>
      </c>
      <c r="M41" s="148" t="s">
        <v>655</v>
      </c>
      <c r="N41" s="146" t="s">
        <v>715</v>
      </c>
      <c r="O41" s="148" t="s">
        <v>716</v>
      </c>
    </row>
    <row r="42" spans="1:21" ht="16.2" thickBot="1">
      <c r="A42" s="145"/>
      <c r="B42" s="274" t="s">
        <v>605</v>
      </c>
      <c r="C42" s="275" t="s">
        <v>1233</v>
      </c>
      <c r="D42" s="274" t="s">
        <v>605</v>
      </c>
      <c r="E42" s="275" t="s">
        <v>1233</v>
      </c>
      <c r="F42" s="146" t="s">
        <v>614</v>
      </c>
      <c r="G42" s="148" t="s">
        <v>615</v>
      </c>
      <c r="H42" s="146" t="s">
        <v>614</v>
      </c>
      <c r="I42" s="152" t="s">
        <v>615</v>
      </c>
      <c r="J42" s="146" t="s">
        <v>633</v>
      </c>
      <c r="K42" s="148" t="s">
        <v>634</v>
      </c>
      <c r="L42" s="146" t="s">
        <v>713</v>
      </c>
      <c r="M42" s="148" t="s">
        <v>714</v>
      </c>
      <c r="N42" s="153" t="s">
        <v>717</v>
      </c>
      <c r="O42" s="154" t="s">
        <v>718</v>
      </c>
      <c r="T42" s="156"/>
      <c r="U42" s="145"/>
    </row>
    <row r="43" spans="1:21">
      <c r="A43" s="145"/>
      <c r="B43" s="274" t="s">
        <v>636</v>
      </c>
      <c r="C43" s="275" t="s">
        <v>1234</v>
      </c>
      <c r="D43" s="274" t="s">
        <v>636</v>
      </c>
      <c r="E43" s="275" t="s">
        <v>1234</v>
      </c>
      <c r="F43" s="146" t="s">
        <v>641</v>
      </c>
      <c r="G43" s="148" t="s">
        <v>642</v>
      </c>
      <c r="H43" s="146" t="s">
        <v>641</v>
      </c>
      <c r="I43" s="152" t="s">
        <v>642</v>
      </c>
      <c r="J43" s="146" t="s">
        <v>637</v>
      </c>
      <c r="K43" s="148" t="s">
        <v>638</v>
      </c>
      <c r="L43" s="146" t="s">
        <v>715</v>
      </c>
      <c r="M43" s="148" t="s">
        <v>716</v>
      </c>
      <c r="T43" s="156"/>
      <c r="U43" s="145"/>
    </row>
    <row r="44" spans="1:21" ht="16.2" thickBot="1">
      <c r="A44" s="145"/>
      <c r="B44" s="146" t="s">
        <v>608</v>
      </c>
      <c r="C44" s="148" t="s">
        <v>609</v>
      </c>
      <c r="D44" s="146" t="s">
        <v>608</v>
      </c>
      <c r="E44" s="148" t="s">
        <v>609</v>
      </c>
      <c r="F44" s="146" t="s">
        <v>644</v>
      </c>
      <c r="G44" s="148" t="s">
        <v>620</v>
      </c>
      <c r="H44" s="146" t="s">
        <v>644</v>
      </c>
      <c r="I44" s="148" t="s">
        <v>620</v>
      </c>
      <c r="J44" s="146" t="s">
        <v>654</v>
      </c>
      <c r="K44" s="148" t="s">
        <v>655</v>
      </c>
      <c r="L44" s="153" t="s">
        <v>717</v>
      </c>
      <c r="M44" s="154" t="s">
        <v>718</v>
      </c>
      <c r="T44" s="156"/>
      <c r="U44" s="145"/>
    </row>
    <row r="45" spans="1:21">
      <c r="A45" s="145"/>
      <c r="B45" s="146" t="s">
        <v>614</v>
      </c>
      <c r="C45" s="148" t="s">
        <v>615</v>
      </c>
      <c r="D45" s="146" t="s">
        <v>614</v>
      </c>
      <c r="E45" s="148" t="s">
        <v>615</v>
      </c>
      <c r="F45" s="146" t="s">
        <v>646</v>
      </c>
      <c r="G45" s="148" t="s">
        <v>623</v>
      </c>
      <c r="H45" s="146" t="s">
        <v>646</v>
      </c>
      <c r="I45" s="148" t="s">
        <v>623</v>
      </c>
      <c r="J45" s="146" t="s">
        <v>713</v>
      </c>
      <c r="K45" s="148" t="s">
        <v>714</v>
      </c>
      <c r="T45" s="156"/>
      <c r="U45" s="145"/>
    </row>
    <row r="46" spans="1:21">
      <c r="A46" s="145"/>
      <c r="B46" s="146" t="s">
        <v>641</v>
      </c>
      <c r="C46" s="148" t="s">
        <v>642</v>
      </c>
      <c r="D46" s="146" t="s">
        <v>641</v>
      </c>
      <c r="E46" s="148" t="s">
        <v>642</v>
      </c>
      <c r="F46" s="146" t="s">
        <v>648</v>
      </c>
      <c r="G46" s="148" t="s">
        <v>649</v>
      </c>
      <c r="H46" s="146" t="s">
        <v>648</v>
      </c>
      <c r="I46" s="148" t="s">
        <v>649</v>
      </c>
      <c r="J46" s="146" t="s">
        <v>715</v>
      </c>
      <c r="K46" s="148" t="s">
        <v>716</v>
      </c>
      <c r="T46" s="156"/>
      <c r="U46" s="145"/>
    </row>
    <row r="47" spans="1:21">
      <c r="A47" s="145"/>
      <c r="B47" s="146" t="s">
        <v>644</v>
      </c>
      <c r="C47" s="148" t="s">
        <v>620</v>
      </c>
      <c r="D47" s="146" t="s">
        <v>644</v>
      </c>
      <c r="E47" s="148" t="s">
        <v>620</v>
      </c>
      <c r="F47" s="146" t="s">
        <v>627</v>
      </c>
      <c r="G47" s="148" t="s">
        <v>628</v>
      </c>
      <c r="H47" s="146" t="s">
        <v>627</v>
      </c>
      <c r="I47" s="148" t="s">
        <v>628</v>
      </c>
      <c r="J47" s="146" t="s">
        <v>717</v>
      </c>
      <c r="K47" s="148" t="s">
        <v>718</v>
      </c>
    </row>
    <row r="48" spans="1:21">
      <c r="A48" s="145"/>
      <c r="B48" s="146" t="s">
        <v>646</v>
      </c>
      <c r="C48" s="148" t="s">
        <v>623</v>
      </c>
      <c r="D48" s="146" t="s">
        <v>646</v>
      </c>
      <c r="E48" s="148" t="s">
        <v>623</v>
      </c>
      <c r="F48" s="146" t="s">
        <v>630</v>
      </c>
      <c r="G48" s="148" t="s">
        <v>631</v>
      </c>
      <c r="H48" s="146" t="s">
        <v>630</v>
      </c>
      <c r="I48" s="148" t="s">
        <v>631</v>
      </c>
      <c r="J48" s="146" t="s">
        <v>1018</v>
      </c>
      <c r="K48" s="148" t="s">
        <v>657</v>
      </c>
    </row>
    <row r="49" spans="1:11">
      <c r="A49" s="145"/>
      <c r="B49" s="146" t="s">
        <v>648</v>
      </c>
      <c r="C49" s="148" t="s">
        <v>649</v>
      </c>
      <c r="D49" s="146" t="s">
        <v>648</v>
      </c>
      <c r="E49" s="148" t="s">
        <v>649</v>
      </c>
      <c r="F49" s="146" t="s">
        <v>652</v>
      </c>
      <c r="G49" s="148" t="s">
        <v>653</v>
      </c>
      <c r="H49" s="146" t="s">
        <v>652</v>
      </c>
      <c r="I49" s="148" t="s">
        <v>653</v>
      </c>
      <c r="J49" s="146" t="s">
        <v>719</v>
      </c>
      <c r="K49" s="148" t="s">
        <v>720</v>
      </c>
    </row>
    <row r="50" spans="1:11" ht="16.2" thickBot="1">
      <c r="A50" s="145"/>
      <c r="B50" s="146" t="s">
        <v>627</v>
      </c>
      <c r="C50" s="148" t="s">
        <v>628</v>
      </c>
      <c r="D50" s="146" t="s">
        <v>627</v>
      </c>
      <c r="E50" s="148" t="s">
        <v>628</v>
      </c>
      <c r="F50" s="146" t="s">
        <v>633</v>
      </c>
      <c r="G50" s="148" t="s">
        <v>634</v>
      </c>
      <c r="H50" s="146" t="s">
        <v>633</v>
      </c>
      <c r="I50" s="148" t="s">
        <v>634</v>
      </c>
      <c r="J50" s="153" t="s">
        <v>1235</v>
      </c>
      <c r="K50" s="154" t="s">
        <v>1236</v>
      </c>
    </row>
    <row r="51" spans="1:11">
      <c r="A51" s="145"/>
      <c r="B51" s="146" t="s">
        <v>630</v>
      </c>
      <c r="C51" s="148" t="s">
        <v>631</v>
      </c>
      <c r="D51" s="146" t="s">
        <v>630</v>
      </c>
      <c r="E51" s="148" t="s">
        <v>631</v>
      </c>
      <c r="F51" s="146" t="s">
        <v>637</v>
      </c>
      <c r="G51" s="148" t="s">
        <v>638</v>
      </c>
      <c r="H51" s="146" t="s">
        <v>637</v>
      </c>
      <c r="I51" s="148" t="s">
        <v>638</v>
      </c>
    </row>
    <row r="52" spans="1:11">
      <c r="A52" s="145"/>
      <c r="B52" s="146" t="s">
        <v>652</v>
      </c>
      <c r="C52" s="148" t="s">
        <v>653</v>
      </c>
      <c r="D52" s="146" t="s">
        <v>652</v>
      </c>
      <c r="E52" s="148" t="s">
        <v>653</v>
      </c>
      <c r="F52" s="146" t="s">
        <v>654</v>
      </c>
      <c r="G52" s="148" t="s">
        <v>655</v>
      </c>
      <c r="H52" s="146" t="s">
        <v>654</v>
      </c>
      <c r="I52" s="148" t="s">
        <v>655</v>
      </c>
    </row>
    <row r="53" spans="1:11">
      <c r="A53" s="145"/>
      <c r="B53" s="146" t="s">
        <v>633</v>
      </c>
      <c r="C53" s="148" t="s">
        <v>634</v>
      </c>
      <c r="D53" s="146" t="s">
        <v>633</v>
      </c>
      <c r="E53" s="148" t="s">
        <v>634</v>
      </c>
      <c r="F53" s="146" t="s">
        <v>713</v>
      </c>
      <c r="G53" s="148" t="s">
        <v>714</v>
      </c>
      <c r="H53" s="146" t="s">
        <v>713</v>
      </c>
      <c r="I53" s="148" t="s">
        <v>714</v>
      </c>
    </row>
    <row r="54" spans="1:11">
      <c r="A54" s="145"/>
      <c r="B54" s="146" t="s">
        <v>637</v>
      </c>
      <c r="C54" s="148" t="s">
        <v>638</v>
      </c>
      <c r="D54" s="146" t="s">
        <v>637</v>
      </c>
      <c r="E54" s="148" t="s">
        <v>638</v>
      </c>
      <c r="F54" s="146" t="s">
        <v>715</v>
      </c>
      <c r="G54" s="148" t="s">
        <v>716</v>
      </c>
      <c r="H54" s="146" t="s">
        <v>715</v>
      </c>
      <c r="I54" s="148" t="s">
        <v>716</v>
      </c>
    </row>
    <row r="55" spans="1:11">
      <c r="A55" s="145"/>
      <c r="B55" s="146" t="s">
        <v>654</v>
      </c>
      <c r="C55" s="148" t="s">
        <v>655</v>
      </c>
      <c r="D55" s="146" t="s">
        <v>654</v>
      </c>
      <c r="E55" s="148" t="s">
        <v>655</v>
      </c>
      <c r="F55" s="146" t="s">
        <v>717</v>
      </c>
      <c r="G55" s="148" t="s">
        <v>718</v>
      </c>
      <c r="H55" s="146" t="s">
        <v>717</v>
      </c>
      <c r="I55" s="148" t="s">
        <v>718</v>
      </c>
    </row>
    <row r="56" spans="1:11">
      <c r="A56" s="145"/>
      <c r="B56" s="146" t="s">
        <v>713</v>
      </c>
      <c r="C56" s="148" t="s">
        <v>714</v>
      </c>
      <c r="D56" s="146" t="s">
        <v>713</v>
      </c>
      <c r="E56" s="148" t="s">
        <v>714</v>
      </c>
      <c r="F56" s="146" t="s">
        <v>1018</v>
      </c>
      <c r="G56" s="148" t="s">
        <v>657</v>
      </c>
      <c r="H56" s="146" t="s">
        <v>1018</v>
      </c>
      <c r="I56" s="148" t="s">
        <v>657</v>
      </c>
    </row>
    <row r="57" spans="1:11">
      <c r="A57" s="145"/>
      <c r="B57" s="146" t="s">
        <v>715</v>
      </c>
      <c r="C57" s="148" t="s">
        <v>716</v>
      </c>
      <c r="D57" s="146" t="s">
        <v>715</v>
      </c>
      <c r="E57" s="148" t="s">
        <v>716</v>
      </c>
      <c r="F57" s="149" t="s">
        <v>658</v>
      </c>
      <c r="G57" s="150" t="s">
        <v>659</v>
      </c>
      <c r="H57" s="149" t="s">
        <v>658</v>
      </c>
      <c r="I57" s="150" t="s">
        <v>659</v>
      </c>
    </row>
    <row r="58" spans="1:11">
      <c r="A58" s="145"/>
      <c r="B58" s="146" t="s">
        <v>717</v>
      </c>
      <c r="C58" s="148" t="s">
        <v>718</v>
      </c>
      <c r="D58" s="146" t="s">
        <v>717</v>
      </c>
      <c r="E58" s="148" t="s">
        <v>718</v>
      </c>
      <c r="F58" s="146" t="s">
        <v>719</v>
      </c>
      <c r="G58" s="148" t="s">
        <v>720</v>
      </c>
      <c r="H58" s="146" t="s">
        <v>719</v>
      </c>
      <c r="I58" s="148" t="s">
        <v>720</v>
      </c>
    </row>
    <row r="59" spans="1:11">
      <c r="A59" s="145"/>
      <c r="B59" s="146" t="s">
        <v>1018</v>
      </c>
      <c r="C59" s="148" t="s">
        <v>657</v>
      </c>
      <c r="D59" s="146" t="s">
        <v>1018</v>
      </c>
      <c r="E59" s="148" t="s">
        <v>657</v>
      </c>
      <c r="F59" s="146" t="s">
        <v>721</v>
      </c>
      <c r="G59" s="148" t="s">
        <v>722</v>
      </c>
      <c r="H59" s="146" t="s">
        <v>721</v>
      </c>
      <c r="I59" s="148" t="s">
        <v>722</v>
      </c>
    </row>
    <row r="60" spans="1:11">
      <c r="A60" s="145"/>
      <c r="B60" s="146" t="s">
        <v>658</v>
      </c>
      <c r="C60" s="148" t="s">
        <v>660</v>
      </c>
      <c r="D60" s="146" t="s">
        <v>658</v>
      </c>
      <c r="E60" s="148" t="s">
        <v>660</v>
      </c>
      <c r="F60" s="146" t="s">
        <v>723</v>
      </c>
      <c r="G60" s="148" t="s">
        <v>724</v>
      </c>
      <c r="H60" s="146" t="s">
        <v>723</v>
      </c>
      <c r="I60" s="148" t="s">
        <v>724</v>
      </c>
    </row>
    <row r="61" spans="1:11">
      <c r="A61" s="145"/>
      <c r="B61" s="149" t="s">
        <v>661</v>
      </c>
      <c r="C61" s="150" t="s">
        <v>662</v>
      </c>
      <c r="D61" s="146" t="s">
        <v>719</v>
      </c>
      <c r="E61" s="148" t="s">
        <v>720</v>
      </c>
      <c r="F61" s="146" t="s">
        <v>725</v>
      </c>
      <c r="G61" s="148" t="s">
        <v>726</v>
      </c>
      <c r="H61" s="146" t="s">
        <v>725</v>
      </c>
      <c r="I61" s="148" t="s">
        <v>726</v>
      </c>
    </row>
    <row r="62" spans="1:11">
      <c r="A62" s="145"/>
      <c r="B62" s="146" t="s">
        <v>719</v>
      </c>
      <c r="C62" s="148" t="s">
        <v>720</v>
      </c>
      <c r="D62" s="146" t="s">
        <v>721</v>
      </c>
      <c r="E62" s="148" t="s">
        <v>722</v>
      </c>
      <c r="F62" s="146" t="s">
        <v>1019</v>
      </c>
      <c r="G62" s="148" t="s">
        <v>1020</v>
      </c>
      <c r="H62" s="146" t="s">
        <v>1019</v>
      </c>
      <c r="I62" s="148" t="s">
        <v>1020</v>
      </c>
    </row>
    <row r="63" spans="1:11">
      <c r="A63" s="145"/>
      <c r="B63" s="146" t="s">
        <v>721</v>
      </c>
      <c r="C63" s="148" t="s">
        <v>722</v>
      </c>
      <c r="D63" s="146" t="s">
        <v>723</v>
      </c>
      <c r="E63" s="148" t="s">
        <v>724</v>
      </c>
      <c r="F63" s="146" t="s">
        <v>1021</v>
      </c>
      <c r="G63" s="148" t="s">
        <v>1022</v>
      </c>
      <c r="H63" s="146" t="s">
        <v>1021</v>
      </c>
      <c r="I63" s="148" t="s">
        <v>1022</v>
      </c>
    </row>
    <row r="64" spans="1:11">
      <c r="A64" s="145"/>
      <c r="B64" s="146" t="s">
        <v>723</v>
      </c>
      <c r="C64" s="148" t="s">
        <v>724</v>
      </c>
      <c r="D64" s="146" t="s">
        <v>725</v>
      </c>
      <c r="E64" s="148" t="s">
        <v>726</v>
      </c>
      <c r="F64" s="146" t="s">
        <v>1023</v>
      </c>
      <c r="G64" s="148" t="s">
        <v>1024</v>
      </c>
      <c r="H64" s="146" t="s">
        <v>1235</v>
      </c>
      <c r="I64" s="148" t="s">
        <v>1236</v>
      </c>
    </row>
    <row r="65" spans="1:9" ht="16.2" thickBot="1">
      <c r="A65" s="145"/>
      <c r="B65" s="146" t="s">
        <v>725</v>
      </c>
      <c r="C65" s="148" t="s">
        <v>726</v>
      </c>
      <c r="D65" s="146" t="s">
        <v>1019</v>
      </c>
      <c r="E65" s="148" t="s">
        <v>1020</v>
      </c>
      <c r="F65" s="146" t="s">
        <v>1025</v>
      </c>
      <c r="G65" s="148" t="s">
        <v>1026</v>
      </c>
      <c r="H65" s="153" t="s">
        <v>1237</v>
      </c>
      <c r="I65" s="154" t="s">
        <v>1238</v>
      </c>
    </row>
    <row r="66" spans="1:9">
      <c r="A66" s="145"/>
      <c r="B66" s="146" t="s">
        <v>1019</v>
      </c>
      <c r="C66" s="148" t="s">
        <v>1020</v>
      </c>
      <c r="D66" s="146" t="s">
        <v>1021</v>
      </c>
      <c r="E66" s="148" t="s">
        <v>1022</v>
      </c>
      <c r="F66" s="146" t="s">
        <v>1235</v>
      </c>
      <c r="G66" s="148" t="s">
        <v>1236</v>
      </c>
    </row>
    <row r="67" spans="1:9" ht="16.2" thickBot="1">
      <c r="A67" s="145"/>
      <c r="B67" s="146" t="s">
        <v>1021</v>
      </c>
      <c r="C67" s="148" t="s">
        <v>1022</v>
      </c>
      <c r="D67" s="146" t="s">
        <v>1023</v>
      </c>
      <c r="E67" s="148" t="s">
        <v>1024</v>
      </c>
      <c r="F67" s="153" t="s">
        <v>1237</v>
      </c>
      <c r="G67" s="154" t="s">
        <v>1238</v>
      </c>
    </row>
    <row r="68" spans="1:9">
      <c r="A68" s="145"/>
      <c r="B68" s="146" t="s">
        <v>1023</v>
      </c>
      <c r="C68" s="148" t="s">
        <v>1024</v>
      </c>
      <c r="D68" s="146" t="s">
        <v>1025</v>
      </c>
      <c r="E68" s="148" t="s">
        <v>1026</v>
      </c>
    </row>
    <row r="69" spans="1:9">
      <c r="A69" s="145"/>
      <c r="B69" s="146" t="s">
        <v>1025</v>
      </c>
      <c r="C69" s="148" t="s">
        <v>1026</v>
      </c>
      <c r="D69" s="146" t="s">
        <v>1027</v>
      </c>
      <c r="E69" s="148" t="s">
        <v>1028</v>
      </c>
    </row>
    <row r="70" spans="1:9">
      <c r="A70" s="145"/>
      <c r="B70" s="146" t="s">
        <v>1027</v>
      </c>
      <c r="C70" s="148" t="s">
        <v>1028</v>
      </c>
      <c r="D70" s="146" t="s">
        <v>1029</v>
      </c>
      <c r="E70" s="148" t="s">
        <v>1030</v>
      </c>
    </row>
    <row r="71" spans="1:9">
      <c r="A71" s="145"/>
      <c r="B71" s="146" t="s">
        <v>1029</v>
      </c>
      <c r="C71" s="148" t="s">
        <v>1030</v>
      </c>
      <c r="D71" s="146" t="s">
        <v>1235</v>
      </c>
      <c r="E71" s="148" t="s">
        <v>1236</v>
      </c>
    </row>
    <row r="72" spans="1:9">
      <c r="A72" s="145"/>
      <c r="B72" s="146" t="s">
        <v>1235</v>
      </c>
      <c r="C72" s="148" t="s">
        <v>1236</v>
      </c>
      <c r="D72" s="146" t="s">
        <v>1237</v>
      </c>
      <c r="E72" s="148" t="s">
        <v>1238</v>
      </c>
    </row>
    <row r="73" spans="1:9" ht="16.2" thickBot="1">
      <c r="A73" s="145"/>
      <c r="B73" s="146" t="s">
        <v>1237</v>
      </c>
      <c r="C73" s="148" t="s">
        <v>1238</v>
      </c>
      <c r="D73" s="153" t="s">
        <v>1239</v>
      </c>
      <c r="E73" s="154" t="s">
        <v>1240</v>
      </c>
    </row>
    <row r="74" spans="1:9" ht="16.2" thickBot="1">
      <c r="A74" s="145"/>
      <c r="B74" s="153" t="s">
        <v>1239</v>
      </c>
      <c r="C74" s="154" t="s">
        <v>1240</v>
      </c>
    </row>
    <row r="75" spans="1:9">
      <c r="A75" s="145"/>
    </row>
    <row r="76" spans="1:9">
      <c r="A76" s="145"/>
    </row>
    <row r="77" spans="1:9">
      <c r="A77" s="145"/>
    </row>
    <row r="78" spans="1:9">
      <c r="A78" s="145"/>
    </row>
    <row r="79" spans="1:9">
      <c r="A79" s="145"/>
    </row>
    <row r="80" spans="1:9">
      <c r="A80" s="145"/>
    </row>
    <row r="81" spans="1:21">
      <c r="A81" s="145"/>
    </row>
    <row r="82" spans="1:21">
      <c r="A82" s="145"/>
    </row>
    <row r="83" spans="1:21">
      <c r="A83" s="145"/>
    </row>
    <row r="84" spans="1:21">
      <c r="A84" s="145"/>
    </row>
    <row r="85" spans="1:21">
      <c r="A85" s="145"/>
    </row>
    <row r="86" spans="1:21">
      <c r="A86" s="145"/>
    </row>
    <row r="87" spans="1:21">
      <c r="A87" s="145"/>
    </row>
    <row r="88" spans="1:21">
      <c r="A88" s="145"/>
      <c r="N88" s="145"/>
    </row>
    <row r="89" spans="1:21" s="157" customFormat="1">
      <c r="A89" s="145"/>
      <c r="B89" s="155"/>
      <c r="C89" s="155"/>
      <c r="D89" s="155"/>
      <c r="E89" s="155"/>
      <c r="F89" s="155"/>
      <c r="G89" s="155"/>
      <c r="H89" s="155"/>
      <c r="I89" s="155"/>
      <c r="J89" s="155"/>
      <c r="K89" s="155"/>
      <c r="L89" s="155"/>
      <c r="M89" s="155"/>
      <c r="N89" s="145"/>
      <c r="O89" s="155"/>
      <c r="P89" s="155"/>
      <c r="Q89" s="155"/>
      <c r="R89" s="155"/>
      <c r="S89" s="155"/>
      <c r="T89" s="155"/>
      <c r="U89" s="155"/>
    </row>
    <row r="90" spans="1:21" s="157" customFormat="1">
      <c r="A90" s="145"/>
      <c r="B90" s="155"/>
      <c r="C90" s="155"/>
      <c r="D90" s="155"/>
      <c r="E90" s="155"/>
      <c r="F90" s="155"/>
      <c r="G90" s="155"/>
      <c r="H90" s="155"/>
      <c r="I90" s="155"/>
      <c r="J90" s="155"/>
      <c r="K90" s="155"/>
      <c r="L90" s="155"/>
      <c r="M90" s="155"/>
      <c r="N90" s="145"/>
      <c r="O90" s="155"/>
      <c r="P90" s="155"/>
      <c r="Q90" s="155"/>
      <c r="R90" s="155"/>
      <c r="S90" s="155"/>
      <c r="T90" s="155"/>
      <c r="U90" s="155"/>
    </row>
    <row r="91" spans="1:21" s="157" customFormat="1">
      <c r="A91" s="145"/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45"/>
      <c r="O91" s="155"/>
      <c r="P91" s="155"/>
      <c r="Q91" s="155"/>
      <c r="R91" s="155"/>
      <c r="S91" s="155"/>
      <c r="T91" s="155"/>
      <c r="U91" s="155"/>
    </row>
    <row r="92" spans="1:21" s="157" customFormat="1">
      <c r="A92" s="145"/>
      <c r="B92" s="155"/>
      <c r="C92" s="155"/>
      <c r="D92" s="155"/>
      <c r="E92" s="155"/>
      <c r="F92" s="155"/>
      <c r="G92" s="155"/>
      <c r="H92" s="155"/>
      <c r="I92" s="155"/>
      <c r="J92" s="155"/>
      <c r="K92" s="155"/>
      <c r="L92" s="155"/>
      <c r="M92" s="155"/>
      <c r="N92" s="145"/>
      <c r="O92" s="155"/>
      <c r="P92" s="155"/>
      <c r="Q92" s="155"/>
      <c r="R92" s="155"/>
      <c r="S92" s="155"/>
      <c r="T92" s="155"/>
      <c r="U92" s="155"/>
    </row>
    <row r="93" spans="1:21" s="157" customFormat="1">
      <c r="A93" s="145"/>
      <c r="B93" s="155"/>
      <c r="C93" s="155"/>
      <c r="D93" s="155"/>
      <c r="E93" s="155"/>
      <c r="F93" s="155"/>
      <c r="G93" s="155"/>
      <c r="H93" s="155"/>
      <c r="I93" s="155"/>
      <c r="J93" s="155"/>
      <c r="K93" s="155"/>
      <c r="L93" s="155"/>
      <c r="M93" s="155"/>
      <c r="N93" s="145"/>
      <c r="O93" s="155"/>
      <c r="P93" s="155"/>
      <c r="Q93" s="155"/>
      <c r="R93" s="155"/>
      <c r="S93" s="155"/>
      <c r="T93" s="155"/>
      <c r="U93" s="155"/>
    </row>
    <row r="94" spans="1:21" s="157" customFormat="1">
      <c r="A94" s="145"/>
      <c r="B94" s="155"/>
      <c r="C94" s="155"/>
      <c r="D94" s="155"/>
      <c r="E94" s="155"/>
      <c r="F94" s="155"/>
      <c r="G94" s="155"/>
      <c r="H94" s="155"/>
      <c r="I94" s="155"/>
      <c r="J94" s="155"/>
      <c r="K94" s="155"/>
      <c r="L94" s="155"/>
      <c r="M94" s="155"/>
      <c r="N94" s="145"/>
      <c r="O94" s="155"/>
      <c r="P94" s="155"/>
      <c r="Q94" s="155"/>
      <c r="R94" s="155"/>
      <c r="S94" s="155"/>
      <c r="T94" s="155"/>
      <c r="U94" s="155"/>
    </row>
    <row r="95" spans="1:21" s="157" customFormat="1">
      <c r="A95" s="145"/>
      <c r="B95" s="155"/>
      <c r="C95" s="155"/>
      <c r="D95" s="155"/>
      <c r="E95" s="155"/>
      <c r="F95" s="155"/>
      <c r="G95" s="155"/>
      <c r="H95" s="155"/>
      <c r="I95" s="155"/>
      <c r="J95" s="155"/>
      <c r="K95" s="155"/>
      <c r="L95" s="155"/>
      <c r="M95" s="155"/>
      <c r="N95" s="145"/>
      <c r="O95" s="155"/>
      <c r="P95" s="155"/>
      <c r="Q95" s="155"/>
      <c r="R95" s="155"/>
      <c r="S95" s="155"/>
      <c r="T95" s="155"/>
      <c r="U95" s="155"/>
    </row>
    <row r="96" spans="1:21" s="157" customFormat="1">
      <c r="A96" s="145"/>
      <c r="B96" s="155"/>
      <c r="C96" s="155"/>
      <c r="D96" s="155"/>
      <c r="E96" s="155"/>
      <c r="F96" s="155"/>
      <c r="G96" s="155"/>
      <c r="H96" s="155"/>
      <c r="I96" s="155"/>
      <c r="J96" s="155"/>
      <c r="K96" s="155"/>
      <c r="L96" s="155"/>
      <c r="M96" s="155"/>
      <c r="N96" s="145"/>
      <c r="O96" s="155"/>
      <c r="P96" s="155"/>
      <c r="Q96" s="155"/>
      <c r="R96" s="155"/>
      <c r="S96" s="155"/>
      <c r="T96" s="155"/>
      <c r="U96" s="155"/>
    </row>
    <row r="97" spans="1:21" s="157" customFormat="1">
      <c r="A97" s="145"/>
      <c r="B97" s="155"/>
      <c r="C97" s="155"/>
      <c r="D97" s="155"/>
      <c r="E97" s="155"/>
      <c r="F97" s="155"/>
      <c r="G97" s="155"/>
      <c r="H97" s="155"/>
      <c r="I97" s="155"/>
      <c r="J97" s="155"/>
      <c r="K97" s="155"/>
      <c r="L97" s="155"/>
      <c r="M97" s="155"/>
      <c r="N97" s="145"/>
      <c r="O97" s="155"/>
      <c r="P97" s="155"/>
      <c r="Q97" s="155"/>
      <c r="R97" s="155"/>
      <c r="S97" s="155"/>
      <c r="T97" s="155"/>
      <c r="U97" s="155"/>
    </row>
    <row r="98" spans="1:21" s="157" customFormat="1">
      <c r="A98" s="145"/>
      <c r="B98" s="155"/>
      <c r="C98" s="155"/>
      <c r="D98" s="155"/>
      <c r="E98" s="155"/>
      <c r="F98" s="155"/>
      <c r="G98" s="155"/>
      <c r="H98" s="155"/>
      <c r="I98" s="155"/>
      <c r="J98" s="155"/>
      <c r="K98" s="155"/>
      <c r="L98" s="155"/>
      <c r="M98" s="155"/>
      <c r="N98" s="145"/>
      <c r="O98" s="155"/>
      <c r="P98" s="155"/>
      <c r="Q98" s="155"/>
      <c r="R98" s="155"/>
      <c r="S98" s="155"/>
      <c r="T98" s="155"/>
      <c r="U98" s="155"/>
    </row>
    <row r="99" spans="1:21" s="157" customFormat="1">
      <c r="A99" s="145"/>
      <c r="B99" s="155"/>
      <c r="C99" s="155"/>
      <c r="D99" s="155"/>
      <c r="E99" s="155"/>
      <c r="F99" s="155"/>
      <c r="G99" s="155"/>
      <c r="H99" s="155"/>
      <c r="I99" s="155"/>
      <c r="J99" s="155"/>
      <c r="K99" s="155"/>
      <c r="L99" s="155"/>
      <c r="M99" s="155"/>
      <c r="N99" s="145"/>
      <c r="O99" s="155"/>
      <c r="P99" s="155"/>
      <c r="Q99" s="155"/>
      <c r="R99" s="155"/>
      <c r="S99" s="155"/>
      <c r="T99" s="155"/>
      <c r="U99" s="155"/>
    </row>
    <row r="100" spans="1:21" s="157" customFormat="1">
      <c r="A100" s="145"/>
      <c r="B100" s="155"/>
      <c r="C100" s="155"/>
      <c r="D100" s="155"/>
      <c r="E100" s="155"/>
      <c r="F100" s="155"/>
      <c r="G100" s="155"/>
      <c r="H100" s="155"/>
      <c r="I100" s="155"/>
      <c r="J100" s="155"/>
      <c r="K100" s="155"/>
      <c r="L100" s="155"/>
      <c r="M100" s="155"/>
      <c r="N100" s="145"/>
      <c r="O100" s="155"/>
      <c r="P100" s="155"/>
      <c r="Q100" s="155"/>
      <c r="R100" s="155"/>
      <c r="S100" s="155"/>
      <c r="T100" s="155"/>
      <c r="U100" s="155"/>
    </row>
    <row r="101" spans="1:21" s="157" customFormat="1">
      <c r="A101" s="145"/>
      <c r="B101" s="155"/>
      <c r="C101" s="155"/>
      <c r="D101" s="155"/>
      <c r="E101" s="155"/>
      <c r="F101" s="155"/>
      <c r="G101" s="155"/>
      <c r="H101" s="155"/>
      <c r="I101" s="155"/>
      <c r="J101" s="155"/>
      <c r="K101" s="155"/>
      <c r="L101" s="155"/>
      <c r="M101" s="155"/>
      <c r="N101" s="145"/>
      <c r="O101" s="155"/>
      <c r="P101" s="155"/>
      <c r="Q101" s="155"/>
      <c r="R101" s="155"/>
      <c r="S101" s="155"/>
      <c r="T101" s="155"/>
      <c r="U101" s="155"/>
    </row>
    <row r="102" spans="1:21" s="157" customFormat="1">
      <c r="A102" s="145"/>
      <c r="B102" s="155"/>
      <c r="C102" s="155"/>
      <c r="D102" s="155"/>
      <c r="E102" s="155"/>
      <c r="F102" s="155"/>
      <c r="G102" s="155"/>
      <c r="H102" s="155"/>
      <c r="I102" s="155"/>
      <c r="J102" s="155"/>
      <c r="K102" s="155"/>
      <c r="L102" s="155"/>
      <c r="M102" s="155"/>
      <c r="N102" s="145"/>
      <c r="O102" s="155"/>
      <c r="P102" s="155"/>
      <c r="Q102" s="155"/>
      <c r="R102" s="155"/>
      <c r="S102" s="155"/>
      <c r="T102" s="155"/>
      <c r="U102" s="155"/>
    </row>
    <row r="103" spans="1:21" s="157" customFormat="1">
      <c r="A103" s="145"/>
      <c r="B103" s="155"/>
      <c r="C103" s="155"/>
      <c r="D103" s="155"/>
      <c r="E103" s="155"/>
      <c r="F103" s="155"/>
      <c r="G103" s="155"/>
      <c r="H103" s="155"/>
      <c r="I103" s="155"/>
      <c r="J103" s="155"/>
      <c r="K103" s="155"/>
      <c r="L103" s="155"/>
      <c r="M103" s="155"/>
      <c r="N103" s="145"/>
      <c r="O103" s="155"/>
      <c r="P103" s="155"/>
      <c r="Q103" s="155"/>
      <c r="R103" s="155"/>
      <c r="S103" s="155"/>
      <c r="T103" s="155"/>
      <c r="U103" s="155"/>
    </row>
    <row r="104" spans="1:21" s="157" customFormat="1">
      <c r="A104" s="145"/>
      <c r="B104" s="155"/>
      <c r="C104" s="155"/>
      <c r="D104" s="155"/>
      <c r="E104" s="155"/>
      <c r="F104" s="155"/>
      <c r="G104" s="155"/>
      <c r="H104" s="155"/>
      <c r="I104" s="155"/>
      <c r="J104" s="155"/>
      <c r="K104" s="155"/>
      <c r="L104" s="155"/>
      <c r="M104" s="155"/>
      <c r="N104" s="145"/>
      <c r="O104" s="155"/>
      <c r="P104" s="155"/>
      <c r="Q104" s="155"/>
      <c r="R104" s="155"/>
      <c r="S104" s="155"/>
      <c r="T104" s="155"/>
      <c r="U104" s="155"/>
    </row>
    <row r="105" spans="1:21" s="157" customFormat="1">
      <c r="A105" s="145"/>
      <c r="B105" s="155"/>
      <c r="C105" s="155"/>
      <c r="D105" s="155"/>
      <c r="E105" s="155"/>
      <c r="F105" s="155"/>
      <c r="G105" s="155"/>
      <c r="H105" s="155"/>
      <c r="I105" s="155"/>
      <c r="J105" s="155"/>
      <c r="K105" s="155"/>
      <c r="L105" s="155"/>
      <c r="M105" s="155"/>
      <c r="N105" s="145"/>
      <c r="O105" s="155"/>
      <c r="P105" s="155"/>
      <c r="Q105" s="155"/>
      <c r="R105" s="155"/>
      <c r="S105" s="155"/>
      <c r="T105" s="155"/>
      <c r="U105" s="155"/>
    </row>
    <row r="106" spans="1:21" s="157" customFormat="1">
      <c r="A106" s="145"/>
      <c r="B106" s="155"/>
      <c r="C106" s="155"/>
      <c r="D106" s="155"/>
      <c r="E106" s="155"/>
      <c r="F106" s="155"/>
      <c r="G106" s="155"/>
      <c r="H106" s="155"/>
      <c r="I106" s="155"/>
      <c r="J106" s="155"/>
      <c r="K106" s="155"/>
      <c r="L106" s="155"/>
      <c r="M106" s="155"/>
      <c r="N106" s="145"/>
      <c r="O106" s="155"/>
      <c r="P106" s="155"/>
      <c r="Q106" s="155"/>
      <c r="R106" s="155"/>
      <c r="S106" s="155"/>
      <c r="T106" s="155"/>
      <c r="U106" s="155"/>
    </row>
    <row r="107" spans="1:21" s="157" customFormat="1">
      <c r="A107" s="145"/>
      <c r="B107" s="155"/>
      <c r="C107" s="155"/>
      <c r="D107" s="155"/>
      <c r="E107" s="155"/>
      <c r="F107" s="155"/>
      <c r="G107" s="155"/>
      <c r="H107" s="155"/>
      <c r="I107" s="155"/>
      <c r="J107" s="155"/>
      <c r="K107" s="155"/>
      <c r="L107" s="155"/>
      <c r="M107" s="155"/>
      <c r="N107" s="145"/>
      <c r="O107" s="155"/>
      <c r="P107" s="155"/>
      <c r="Q107" s="155"/>
      <c r="R107" s="155"/>
      <c r="S107" s="155"/>
      <c r="T107" s="155"/>
      <c r="U107" s="155"/>
    </row>
    <row r="108" spans="1:21" s="157" customFormat="1">
      <c r="A108" s="145"/>
      <c r="B108" s="155"/>
      <c r="C108" s="155"/>
      <c r="D108" s="155"/>
      <c r="E108" s="155"/>
      <c r="F108" s="155"/>
      <c r="G108" s="155"/>
      <c r="H108" s="155"/>
      <c r="I108" s="155"/>
      <c r="J108" s="155"/>
      <c r="K108" s="155"/>
      <c r="L108" s="155"/>
      <c r="M108" s="155"/>
      <c r="N108" s="145"/>
      <c r="O108" s="155"/>
      <c r="P108" s="155"/>
      <c r="Q108" s="155"/>
      <c r="R108" s="155"/>
      <c r="S108" s="155"/>
      <c r="T108" s="155"/>
      <c r="U108" s="155"/>
    </row>
    <row r="109" spans="1:21" s="157" customFormat="1">
      <c r="A109" s="145"/>
      <c r="B109" s="155"/>
      <c r="C109" s="155"/>
      <c r="D109" s="155"/>
      <c r="E109" s="155"/>
      <c r="F109" s="155"/>
      <c r="G109" s="155"/>
      <c r="H109" s="155"/>
      <c r="I109" s="155"/>
      <c r="J109" s="155"/>
      <c r="K109" s="155"/>
      <c r="L109" s="155"/>
      <c r="M109" s="155"/>
      <c r="N109" s="145"/>
      <c r="O109" s="155"/>
      <c r="P109" s="155"/>
      <c r="Q109" s="155"/>
      <c r="R109" s="155"/>
      <c r="S109" s="155"/>
      <c r="T109" s="155"/>
      <c r="U109" s="155"/>
    </row>
    <row r="110" spans="1:21" s="157" customFormat="1">
      <c r="A110" s="145"/>
      <c r="B110" s="155"/>
      <c r="C110" s="155"/>
      <c r="D110" s="155"/>
      <c r="E110" s="155"/>
      <c r="F110" s="155"/>
      <c r="G110" s="155"/>
      <c r="H110" s="155"/>
      <c r="I110" s="155"/>
      <c r="J110" s="155"/>
      <c r="K110" s="155"/>
      <c r="L110" s="155"/>
      <c r="M110" s="155"/>
      <c r="N110" s="145"/>
      <c r="O110" s="155"/>
      <c r="P110" s="155"/>
      <c r="Q110" s="155"/>
      <c r="R110" s="155"/>
      <c r="S110" s="155"/>
      <c r="T110" s="155"/>
      <c r="U110" s="155"/>
    </row>
    <row r="111" spans="1:21" s="157" customFormat="1">
      <c r="A111" s="145"/>
      <c r="B111" s="155"/>
      <c r="C111" s="155"/>
      <c r="D111" s="155"/>
      <c r="E111" s="155"/>
      <c r="F111" s="155"/>
      <c r="G111" s="155"/>
      <c r="H111" s="155"/>
      <c r="I111" s="155"/>
      <c r="J111" s="155"/>
      <c r="K111" s="155"/>
      <c r="L111" s="155"/>
      <c r="M111" s="155"/>
      <c r="N111" s="145"/>
      <c r="O111" s="155"/>
      <c r="P111" s="155"/>
      <c r="Q111" s="155"/>
      <c r="R111" s="155"/>
      <c r="S111" s="155"/>
      <c r="T111" s="155"/>
      <c r="U111" s="155"/>
    </row>
    <row r="112" spans="1:21" s="157" customFormat="1">
      <c r="A112" s="145"/>
      <c r="B112" s="155"/>
      <c r="C112" s="155"/>
      <c r="D112" s="155"/>
      <c r="E112" s="155"/>
      <c r="F112" s="155"/>
      <c r="G112" s="155"/>
      <c r="H112" s="155"/>
      <c r="I112" s="155"/>
      <c r="J112" s="155"/>
      <c r="K112" s="155"/>
      <c r="L112" s="155"/>
      <c r="M112" s="155"/>
      <c r="N112" s="145"/>
      <c r="O112" s="155"/>
      <c r="P112" s="155"/>
      <c r="Q112" s="155"/>
      <c r="R112" s="155"/>
      <c r="S112" s="155"/>
      <c r="T112" s="155"/>
      <c r="U112" s="155"/>
    </row>
    <row r="113" spans="1:21" s="157" customFormat="1">
      <c r="A113" s="145"/>
      <c r="B113" s="155"/>
      <c r="C113" s="155"/>
      <c r="D113" s="155"/>
      <c r="E113" s="155"/>
      <c r="F113" s="155"/>
      <c r="G113" s="155"/>
      <c r="H113" s="155"/>
      <c r="I113" s="155"/>
      <c r="J113" s="155"/>
      <c r="K113" s="155"/>
      <c r="L113" s="155"/>
      <c r="M113" s="155"/>
      <c r="N113" s="155"/>
      <c r="O113" s="155"/>
      <c r="P113" s="155"/>
      <c r="Q113" s="155"/>
      <c r="R113" s="155"/>
      <c r="S113" s="155"/>
      <c r="T113" s="155"/>
      <c r="U113" s="155"/>
    </row>
    <row r="114" spans="1:21" s="157" customFormat="1">
      <c r="A114" s="145"/>
      <c r="B114" s="155"/>
      <c r="C114" s="155"/>
      <c r="D114" s="155"/>
      <c r="E114" s="155"/>
      <c r="F114" s="155"/>
      <c r="G114" s="155"/>
      <c r="H114" s="155"/>
      <c r="I114" s="155"/>
      <c r="J114" s="155"/>
      <c r="K114" s="155"/>
      <c r="L114" s="155"/>
      <c r="M114" s="155"/>
      <c r="N114" s="155"/>
      <c r="O114" s="155"/>
      <c r="P114" s="155"/>
      <c r="Q114" s="155"/>
      <c r="R114" s="155"/>
      <c r="S114" s="155"/>
      <c r="T114" s="155"/>
      <c r="U114" s="155"/>
    </row>
    <row r="115" spans="1:21" s="157" customFormat="1">
      <c r="A115" s="145"/>
      <c r="B115" s="155"/>
      <c r="C115" s="155"/>
      <c r="D115" s="155"/>
      <c r="E115" s="155"/>
      <c r="F115" s="155"/>
      <c r="G115" s="155"/>
      <c r="H115" s="155"/>
      <c r="I115" s="155"/>
      <c r="J115" s="155"/>
      <c r="K115" s="155"/>
      <c r="L115" s="155"/>
      <c r="M115" s="155"/>
      <c r="N115" s="155"/>
      <c r="O115" s="155"/>
      <c r="P115" s="155"/>
      <c r="Q115" s="155"/>
      <c r="R115" s="155"/>
      <c r="S115" s="155"/>
      <c r="T115" s="155"/>
      <c r="U115" s="155"/>
    </row>
    <row r="116" spans="1:21" s="157" customFormat="1">
      <c r="A116" s="145"/>
      <c r="B116" s="155"/>
      <c r="C116" s="155"/>
      <c r="D116" s="155"/>
      <c r="E116" s="155"/>
      <c r="F116" s="155"/>
      <c r="G116" s="155"/>
      <c r="H116" s="155"/>
      <c r="I116" s="155"/>
      <c r="J116" s="155"/>
      <c r="K116" s="155"/>
      <c r="L116" s="155"/>
      <c r="M116" s="155"/>
      <c r="N116" s="155"/>
      <c r="O116" s="155"/>
      <c r="P116" s="155"/>
      <c r="Q116" s="155"/>
      <c r="R116" s="155"/>
      <c r="S116" s="155"/>
      <c r="T116" s="155"/>
      <c r="U116" s="155"/>
    </row>
    <row r="117" spans="1:21" s="157" customFormat="1">
      <c r="A117" s="145"/>
      <c r="B117" s="155"/>
      <c r="C117" s="155"/>
      <c r="D117" s="155"/>
      <c r="E117" s="155"/>
      <c r="F117" s="155"/>
      <c r="G117" s="155"/>
      <c r="H117" s="155"/>
      <c r="I117" s="155"/>
      <c r="J117" s="155"/>
      <c r="K117" s="155"/>
      <c r="L117" s="155"/>
      <c r="M117" s="155"/>
      <c r="N117" s="155"/>
      <c r="O117" s="155"/>
      <c r="P117" s="155"/>
      <c r="Q117" s="155"/>
      <c r="R117" s="155"/>
      <c r="S117" s="155"/>
      <c r="T117" s="155"/>
      <c r="U117" s="155"/>
    </row>
    <row r="118" spans="1:21" s="157" customFormat="1">
      <c r="A118" s="145"/>
      <c r="B118" s="155"/>
      <c r="C118" s="155"/>
      <c r="D118" s="155"/>
      <c r="E118" s="155"/>
      <c r="F118" s="155"/>
      <c r="G118" s="155"/>
      <c r="H118" s="155"/>
      <c r="I118" s="155"/>
      <c r="J118" s="155"/>
      <c r="K118" s="155"/>
      <c r="L118" s="155"/>
      <c r="M118" s="155"/>
      <c r="N118" s="155"/>
      <c r="O118" s="155"/>
      <c r="P118" s="155"/>
      <c r="Q118" s="155"/>
      <c r="R118" s="155"/>
      <c r="S118" s="155"/>
      <c r="T118" s="155"/>
      <c r="U118" s="155"/>
    </row>
    <row r="119" spans="1:21" s="157" customFormat="1">
      <c r="A119" s="145"/>
      <c r="B119" s="155"/>
      <c r="C119" s="155"/>
      <c r="D119" s="155"/>
      <c r="E119" s="155"/>
      <c r="F119" s="155"/>
      <c r="G119" s="155"/>
      <c r="H119" s="155"/>
      <c r="I119" s="155"/>
      <c r="J119" s="155"/>
      <c r="K119" s="155"/>
      <c r="L119" s="155"/>
      <c r="M119" s="155"/>
      <c r="N119" s="155"/>
      <c r="O119" s="155"/>
      <c r="P119" s="155"/>
      <c r="Q119" s="155"/>
      <c r="R119" s="155"/>
      <c r="S119" s="155"/>
      <c r="T119" s="155"/>
      <c r="U119" s="155"/>
    </row>
    <row r="120" spans="1:21" s="157" customFormat="1">
      <c r="A120" s="145"/>
      <c r="B120" s="155"/>
      <c r="C120" s="155"/>
      <c r="D120" s="155"/>
      <c r="E120" s="155"/>
      <c r="F120" s="155"/>
      <c r="G120" s="155"/>
      <c r="H120" s="155"/>
      <c r="I120" s="155"/>
      <c r="J120" s="155"/>
      <c r="K120" s="155"/>
      <c r="L120" s="155"/>
      <c r="M120" s="155"/>
      <c r="N120" s="155"/>
      <c r="O120" s="155"/>
      <c r="P120" s="155"/>
      <c r="Q120" s="155"/>
      <c r="R120" s="155"/>
      <c r="S120" s="155"/>
      <c r="T120" s="155"/>
      <c r="U120" s="155"/>
    </row>
    <row r="121" spans="1:21" s="157" customFormat="1">
      <c r="A121" s="145"/>
      <c r="B121" s="155"/>
      <c r="C121" s="155"/>
      <c r="F121" s="155"/>
      <c r="G121" s="155"/>
      <c r="H121" s="155"/>
      <c r="I121" s="155"/>
      <c r="J121" s="155"/>
      <c r="K121" s="155"/>
      <c r="L121" s="155"/>
      <c r="M121" s="155"/>
      <c r="N121" s="155"/>
      <c r="O121" s="155"/>
      <c r="P121" s="155"/>
      <c r="Q121" s="155"/>
      <c r="R121" s="155"/>
      <c r="S121" s="155"/>
      <c r="T121" s="155"/>
      <c r="U121" s="155"/>
    </row>
    <row r="122" spans="1:21" s="157" customFormat="1">
      <c r="A122" s="145"/>
      <c r="B122" s="155"/>
      <c r="C122" s="155"/>
      <c r="F122" s="155"/>
      <c r="G122" s="155"/>
      <c r="H122" s="155"/>
      <c r="I122" s="155"/>
      <c r="J122" s="155"/>
      <c r="K122" s="155"/>
      <c r="L122" s="155"/>
      <c r="M122" s="155"/>
      <c r="N122" s="155"/>
      <c r="O122" s="155"/>
      <c r="P122" s="155"/>
      <c r="Q122" s="155"/>
      <c r="R122" s="155"/>
      <c r="S122" s="155"/>
      <c r="T122" s="155"/>
      <c r="U122" s="155"/>
    </row>
    <row r="123" spans="1:21" s="157" customFormat="1">
      <c r="A123" s="145"/>
      <c r="B123" s="155"/>
      <c r="C123" s="155"/>
      <c r="F123" s="155"/>
      <c r="G123" s="155"/>
      <c r="H123" s="155"/>
      <c r="I123" s="155"/>
      <c r="J123" s="155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</row>
    <row r="124" spans="1:21" s="157" customFormat="1">
      <c r="A124" s="145"/>
      <c r="B124" s="155"/>
      <c r="C124" s="155"/>
      <c r="F124" s="155"/>
      <c r="G124" s="155"/>
      <c r="H124" s="155"/>
      <c r="I124" s="155"/>
      <c r="J124" s="155"/>
      <c r="K124" s="155"/>
      <c r="L124" s="155"/>
      <c r="M124" s="155"/>
      <c r="N124" s="155"/>
      <c r="O124" s="155"/>
      <c r="P124" s="155"/>
      <c r="Q124" s="155"/>
      <c r="R124" s="155"/>
      <c r="S124" s="155"/>
      <c r="T124" s="155"/>
      <c r="U124" s="155"/>
    </row>
    <row r="125" spans="1:21" s="157" customFormat="1">
      <c r="A125" s="145"/>
      <c r="B125" s="155"/>
      <c r="C125" s="155"/>
      <c r="F125" s="155"/>
      <c r="G125" s="155"/>
      <c r="H125" s="155"/>
      <c r="I125" s="155"/>
      <c r="J125" s="155"/>
      <c r="K125" s="155"/>
      <c r="L125" s="155"/>
      <c r="M125" s="155"/>
      <c r="N125" s="155"/>
      <c r="O125" s="155"/>
      <c r="P125" s="155"/>
      <c r="Q125" s="155"/>
      <c r="R125" s="155"/>
      <c r="S125" s="155"/>
      <c r="T125" s="155"/>
      <c r="U125" s="155"/>
    </row>
    <row r="126" spans="1:21" s="157" customFormat="1">
      <c r="A126" s="145"/>
      <c r="B126" s="155"/>
      <c r="C126" s="155"/>
      <c r="F126" s="155"/>
      <c r="G126" s="155"/>
      <c r="H126" s="155"/>
      <c r="I126" s="155"/>
      <c r="J126" s="155"/>
      <c r="K126" s="155"/>
      <c r="L126" s="155"/>
      <c r="M126" s="155"/>
      <c r="N126" s="155"/>
      <c r="O126" s="155"/>
      <c r="P126" s="155"/>
      <c r="Q126" s="155"/>
      <c r="R126" s="155"/>
      <c r="S126" s="155"/>
      <c r="T126" s="155"/>
      <c r="U126" s="155"/>
    </row>
    <row r="127" spans="1:21" s="157" customFormat="1">
      <c r="A127" s="145"/>
      <c r="B127" s="155"/>
      <c r="C127" s="155"/>
      <c r="F127" s="155"/>
      <c r="G127" s="155"/>
      <c r="H127" s="155"/>
      <c r="I127" s="155"/>
      <c r="J127" s="155"/>
      <c r="K127" s="155"/>
      <c r="L127" s="155"/>
      <c r="M127" s="155"/>
      <c r="N127" s="155"/>
      <c r="O127" s="155"/>
      <c r="P127" s="155"/>
      <c r="Q127" s="155"/>
      <c r="R127" s="155"/>
      <c r="S127" s="155"/>
      <c r="T127" s="155"/>
      <c r="U127" s="155"/>
    </row>
    <row r="128" spans="1:21" s="157" customFormat="1">
      <c r="A128" s="145"/>
      <c r="B128" s="155"/>
      <c r="C128" s="155"/>
      <c r="F128" s="155"/>
      <c r="G128" s="155"/>
      <c r="H128" s="155"/>
      <c r="I128" s="155"/>
      <c r="J128" s="155"/>
      <c r="K128" s="155"/>
      <c r="L128" s="155"/>
      <c r="M128" s="155"/>
      <c r="N128" s="155"/>
      <c r="O128" s="155"/>
      <c r="P128" s="155"/>
      <c r="Q128" s="155"/>
      <c r="R128" s="155"/>
      <c r="S128" s="155"/>
      <c r="T128" s="155"/>
      <c r="U128" s="155"/>
    </row>
    <row r="129" spans="1:21" s="157" customFormat="1">
      <c r="A129" s="145"/>
      <c r="B129" s="155"/>
      <c r="C129" s="155"/>
      <c r="F129" s="155"/>
      <c r="G129" s="155"/>
      <c r="H129" s="155"/>
      <c r="I129" s="155"/>
      <c r="J129" s="155"/>
      <c r="K129" s="155"/>
      <c r="L129" s="155"/>
      <c r="M129" s="155"/>
      <c r="N129" s="155"/>
      <c r="O129" s="155"/>
      <c r="P129" s="155"/>
      <c r="Q129" s="155"/>
      <c r="R129" s="155"/>
      <c r="S129" s="155"/>
      <c r="T129" s="155"/>
      <c r="U129" s="155"/>
    </row>
    <row r="130" spans="1:21" s="157" customFormat="1">
      <c r="A130" s="145"/>
      <c r="B130" s="155"/>
      <c r="C130" s="155"/>
      <c r="F130" s="155"/>
      <c r="G130" s="155"/>
      <c r="H130" s="155"/>
      <c r="I130" s="155"/>
      <c r="J130" s="155"/>
      <c r="K130" s="155"/>
      <c r="L130" s="155"/>
      <c r="M130" s="155"/>
      <c r="N130" s="155"/>
      <c r="O130" s="155"/>
      <c r="P130" s="155"/>
      <c r="Q130" s="155"/>
      <c r="R130" s="155"/>
      <c r="S130" s="155"/>
      <c r="T130" s="155"/>
      <c r="U130" s="155"/>
    </row>
    <row r="131" spans="1:21" s="157" customFormat="1">
      <c r="A131" s="145"/>
      <c r="B131" s="155"/>
      <c r="C131" s="155"/>
      <c r="F131" s="155"/>
      <c r="G131" s="155"/>
      <c r="H131" s="155"/>
      <c r="I131" s="155"/>
      <c r="J131" s="155"/>
      <c r="K131" s="155"/>
      <c r="L131" s="155"/>
      <c r="M131" s="155"/>
      <c r="N131" s="155"/>
      <c r="O131" s="155"/>
      <c r="P131" s="155"/>
      <c r="Q131" s="155"/>
      <c r="R131" s="155"/>
      <c r="S131" s="155"/>
      <c r="T131" s="155"/>
      <c r="U131" s="155"/>
    </row>
    <row r="132" spans="1:21" s="157" customFormat="1">
      <c r="A132" s="145"/>
      <c r="B132" s="155"/>
      <c r="C132" s="155"/>
      <c r="F132" s="155"/>
      <c r="G132" s="155"/>
      <c r="H132" s="155"/>
      <c r="I132" s="155"/>
      <c r="J132" s="155"/>
      <c r="K132" s="155"/>
      <c r="L132" s="155"/>
      <c r="M132" s="155"/>
      <c r="N132" s="155"/>
      <c r="O132" s="155"/>
      <c r="P132" s="155"/>
      <c r="Q132" s="155"/>
      <c r="R132" s="155"/>
      <c r="S132" s="155"/>
      <c r="T132" s="155"/>
      <c r="U132" s="155"/>
    </row>
    <row r="133" spans="1:21" s="157" customFormat="1">
      <c r="A133" s="145"/>
      <c r="B133" s="155"/>
      <c r="C133" s="155"/>
      <c r="F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  <c r="T133" s="155"/>
      <c r="U133" s="155"/>
    </row>
    <row r="134" spans="1:21" s="157" customFormat="1">
      <c r="A134" s="145"/>
      <c r="B134" s="155"/>
      <c r="C134" s="155"/>
      <c r="F134" s="155"/>
      <c r="G134" s="155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  <c r="T134" s="155"/>
      <c r="U134" s="155"/>
    </row>
    <row r="135" spans="1:21" s="157" customFormat="1">
      <c r="A135" s="145"/>
      <c r="B135" s="155"/>
      <c r="C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R135" s="155"/>
      <c r="S135" s="155"/>
      <c r="T135" s="155"/>
      <c r="U135" s="155"/>
    </row>
    <row r="136" spans="1:21" s="157" customFormat="1">
      <c r="A136" s="145"/>
      <c r="B136" s="155"/>
      <c r="C136" s="155"/>
      <c r="F136" s="155"/>
      <c r="G136" s="155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R136" s="155"/>
      <c r="S136" s="155"/>
      <c r="T136" s="155"/>
      <c r="U136" s="155"/>
    </row>
    <row r="137" spans="1:21" s="157" customFormat="1">
      <c r="A137" s="145"/>
      <c r="B137" s="155"/>
      <c r="C137" s="155"/>
      <c r="F137" s="155"/>
      <c r="G137" s="155"/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  <c r="R137" s="155"/>
      <c r="S137" s="155"/>
      <c r="T137" s="155"/>
      <c r="U137" s="155"/>
    </row>
    <row r="138" spans="1:21" s="157" customFormat="1">
      <c r="A138" s="145"/>
      <c r="B138" s="155"/>
      <c r="C138" s="155"/>
      <c r="F138" s="155"/>
      <c r="G138" s="155"/>
      <c r="H138" s="155"/>
      <c r="I138" s="155"/>
      <c r="J138" s="155"/>
      <c r="K138" s="155"/>
      <c r="L138" s="155"/>
      <c r="M138" s="155"/>
      <c r="N138" s="155"/>
      <c r="O138" s="155"/>
      <c r="P138" s="155"/>
      <c r="Q138" s="155"/>
      <c r="R138" s="155"/>
      <c r="S138" s="155"/>
      <c r="T138" s="155"/>
      <c r="U138" s="155"/>
    </row>
    <row r="139" spans="1:21" s="157" customFormat="1">
      <c r="A139" s="145"/>
      <c r="B139" s="155"/>
      <c r="C139" s="155"/>
      <c r="F139" s="155"/>
      <c r="G139" s="155"/>
      <c r="H139" s="155"/>
      <c r="I139" s="155"/>
      <c r="J139" s="155"/>
      <c r="K139" s="155"/>
      <c r="L139" s="155"/>
      <c r="M139" s="155"/>
      <c r="N139" s="155"/>
      <c r="O139" s="155"/>
      <c r="P139" s="155"/>
      <c r="Q139" s="155"/>
      <c r="R139" s="155"/>
      <c r="S139" s="155"/>
      <c r="T139" s="155"/>
      <c r="U139" s="155"/>
    </row>
    <row r="140" spans="1:21" s="157" customFormat="1">
      <c r="A140" s="145"/>
      <c r="B140" s="155"/>
      <c r="C140" s="155"/>
      <c r="F140" s="155"/>
      <c r="G140" s="155"/>
      <c r="H140" s="155"/>
      <c r="I140" s="155"/>
      <c r="J140" s="155"/>
      <c r="K140" s="155"/>
      <c r="L140" s="155"/>
      <c r="M140" s="155"/>
      <c r="N140" s="155"/>
      <c r="O140" s="155"/>
      <c r="P140" s="155"/>
      <c r="Q140" s="155"/>
      <c r="R140" s="155"/>
      <c r="S140" s="155"/>
      <c r="T140" s="155"/>
      <c r="U140" s="155"/>
    </row>
    <row r="141" spans="1:21" s="157" customFormat="1">
      <c r="A141" s="145"/>
      <c r="B141" s="155"/>
      <c r="C141" s="155"/>
      <c r="F141" s="155"/>
      <c r="G141" s="155"/>
      <c r="H141" s="155"/>
      <c r="I141" s="155"/>
      <c r="J141" s="155"/>
      <c r="K141" s="155"/>
      <c r="L141" s="155"/>
      <c r="M141" s="155"/>
      <c r="N141" s="155"/>
      <c r="O141" s="155"/>
      <c r="P141" s="155"/>
      <c r="Q141" s="155"/>
      <c r="R141" s="155"/>
      <c r="S141" s="155"/>
      <c r="T141" s="155"/>
      <c r="U141" s="155"/>
    </row>
    <row r="142" spans="1:21" s="157" customFormat="1">
      <c r="A142" s="145"/>
      <c r="B142" s="155"/>
      <c r="C142" s="155"/>
      <c r="F142" s="155"/>
      <c r="G142" s="155"/>
      <c r="H142" s="155"/>
      <c r="I142" s="155"/>
      <c r="J142" s="155"/>
      <c r="K142" s="155"/>
      <c r="L142" s="155"/>
      <c r="M142" s="155"/>
      <c r="N142" s="155"/>
      <c r="O142" s="155"/>
      <c r="P142" s="155"/>
      <c r="Q142" s="155"/>
      <c r="R142" s="155"/>
      <c r="S142" s="155"/>
      <c r="T142" s="155"/>
      <c r="U142" s="155"/>
    </row>
    <row r="143" spans="1:21" s="157" customFormat="1">
      <c r="A143" s="145"/>
      <c r="B143" s="155"/>
      <c r="C143" s="155"/>
      <c r="D143" s="155"/>
      <c r="E143" s="155"/>
      <c r="F143" s="155"/>
      <c r="G143" s="155"/>
      <c r="H143" s="155"/>
      <c r="I143" s="155"/>
      <c r="J143" s="155"/>
      <c r="K143" s="155"/>
      <c r="L143" s="155"/>
      <c r="M143" s="155"/>
      <c r="N143" s="155"/>
      <c r="O143" s="155"/>
      <c r="P143" s="155"/>
      <c r="Q143" s="155"/>
      <c r="R143" s="155"/>
      <c r="S143" s="155"/>
      <c r="T143" s="155"/>
      <c r="U143" s="155"/>
    </row>
    <row r="144" spans="1:21" s="157" customFormat="1">
      <c r="A144" s="145"/>
      <c r="B144" s="155"/>
      <c r="C144" s="155"/>
      <c r="D144" s="155"/>
      <c r="E144" s="155"/>
      <c r="F144" s="155"/>
      <c r="G144" s="155"/>
      <c r="H144" s="155"/>
      <c r="I144" s="155"/>
      <c r="J144" s="155"/>
      <c r="K144" s="155"/>
      <c r="L144" s="155"/>
      <c r="M144" s="155"/>
      <c r="N144" s="155"/>
      <c r="O144" s="155"/>
      <c r="P144" s="155"/>
      <c r="Q144" s="155"/>
      <c r="R144" s="155"/>
      <c r="S144" s="155"/>
      <c r="T144" s="155"/>
      <c r="U144" s="155"/>
    </row>
    <row r="145" spans="1:21" s="157" customFormat="1">
      <c r="A145" s="145"/>
      <c r="B145" s="155"/>
      <c r="C145" s="155"/>
      <c r="D145" s="155"/>
      <c r="E145" s="155"/>
      <c r="F145" s="155"/>
      <c r="G145" s="155"/>
      <c r="H145" s="155"/>
      <c r="I145" s="155"/>
      <c r="J145" s="155"/>
      <c r="K145" s="155"/>
      <c r="L145" s="155"/>
      <c r="M145" s="155"/>
      <c r="N145" s="155"/>
      <c r="O145" s="155"/>
      <c r="P145" s="155"/>
      <c r="Q145" s="155"/>
      <c r="R145" s="155"/>
      <c r="S145" s="155"/>
      <c r="T145" s="155"/>
      <c r="U145" s="155"/>
    </row>
    <row r="146" spans="1:21" s="157" customFormat="1">
      <c r="A146" s="145"/>
      <c r="B146" s="155"/>
      <c r="C146" s="155"/>
      <c r="D146" s="155"/>
      <c r="E146" s="155"/>
      <c r="F146" s="155"/>
      <c r="G146" s="155"/>
      <c r="H146" s="155"/>
      <c r="I146" s="155"/>
      <c r="J146" s="155"/>
      <c r="K146" s="155"/>
      <c r="L146" s="155"/>
      <c r="M146" s="155"/>
      <c r="N146" s="155"/>
      <c r="O146" s="155"/>
      <c r="P146" s="155"/>
      <c r="Q146" s="155"/>
      <c r="R146" s="155"/>
      <c r="S146" s="155"/>
      <c r="T146" s="155"/>
      <c r="U146" s="155"/>
    </row>
    <row r="147" spans="1:21" s="157" customFormat="1">
      <c r="A147" s="145"/>
      <c r="B147" s="155"/>
      <c r="C147" s="155"/>
      <c r="D147" s="155"/>
      <c r="E147" s="155"/>
      <c r="F147" s="155"/>
      <c r="G147" s="155"/>
      <c r="H147" s="155"/>
      <c r="I147" s="155"/>
      <c r="J147" s="155"/>
      <c r="K147" s="155"/>
      <c r="L147" s="155"/>
      <c r="M147" s="155"/>
      <c r="N147" s="155"/>
      <c r="O147" s="155"/>
      <c r="P147" s="155"/>
      <c r="Q147" s="155"/>
      <c r="R147" s="155"/>
      <c r="S147" s="155"/>
      <c r="T147" s="155"/>
      <c r="U147" s="155"/>
    </row>
    <row r="148" spans="1:21" s="157" customFormat="1">
      <c r="A148" s="145"/>
      <c r="B148" s="155"/>
      <c r="C148" s="155"/>
      <c r="D148" s="155"/>
      <c r="E148" s="155"/>
      <c r="F148" s="155"/>
      <c r="G148" s="155"/>
      <c r="H148" s="155"/>
      <c r="I148" s="155"/>
      <c r="J148" s="155"/>
      <c r="K148" s="155"/>
      <c r="L148" s="155"/>
      <c r="M148" s="155"/>
      <c r="N148" s="155"/>
      <c r="O148" s="155"/>
      <c r="P148" s="155"/>
      <c r="Q148" s="155"/>
      <c r="R148" s="155"/>
      <c r="S148" s="155"/>
      <c r="T148" s="155"/>
      <c r="U148" s="155"/>
    </row>
    <row r="149" spans="1:21" s="157" customFormat="1">
      <c r="A149" s="145"/>
      <c r="B149" s="155"/>
      <c r="C149" s="155"/>
      <c r="D149" s="155"/>
      <c r="E149" s="155"/>
      <c r="F149" s="155"/>
      <c r="G149" s="155"/>
      <c r="H149" s="155"/>
      <c r="I149" s="155"/>
      <c r="J149" s="155"/>
      <c r="K149" s="155"/>
      <c r="L149" s="155"/>
      <c r="M149" s="155"/>
      <c r="N149" s="155"/>
      <c r="O149" s="155"/>
      <c r="P149" s="155"/>
      <c r="Q149" s="155"/>
      <c r="R149" s="155"/>
      <c r="S149" s="155"/>
      <c r="T149" s="155"/>
      <c r="U149" s="155"/>
    </row>
    <row r="150" spans="1:21" s="157" customFormat="1">
      <c r="A150" s="145"/>
      <c r="B150" s="155"/>
      <c r="C150" s="155"/>
      <c r="D150" s="155"/>
      <c r="E150" s="155"/>
      <c r="F150" s="155"/>
      <c r="G150" s="155"/>
      <c r="H150" s="155"/>
      <c r="I150" s="155"/>
      <c r="J150" s="155"/>
      <c r="K150" s="155"/>
      <c r="L150" s="155"/>
      <c r="M150" s="155"/>
      <c r="N150" s="155"/>
      <c r="O150" s="155"/>
      <c r="P150" s="155"/>
      <c r="Q150" s="155"/>
      <c r="R150" s="155"/>
      <c r="S150" s="155"/>
      <c r="T150" s="155"/>
      <c r="U150" s="155"/>
    </row>
    <row r="151" spans="1:21" s="157" customFormat="1">
      <c r="A151" s="145"/>
      <c r="B151" s="155"/>
      <c r="C151" s="155"/>
      <c r="D151" s="155"/>
      <c r="E151" s="155"/>
      <c r="F151" s="155"/>
      <c r="G151" s="155"/>
      <c r="H151" s="155"/>
      <c r="I151" s="155"/>
      <c r="J151" s="155"/>
      <c r="K151" s="155"/>
      <c r="L151" s="155"/>
      <c r="M151" s="155"/>
      <c r="N151" s="155"/>
      <c r="O151" s="155"/>
      <c r="P151" s="155"/>
      <c r="Q151" s="155"/>
      <c r="R151" s="155"/>
      <c r="S151" s="155"/>
      <c r="T151" s="155"/>
      <c r="U151" s="155"/>
    </row>
    <row r="152" spans="1:21" s="157" customFormat="1">
      <c r="A152" s="145"/>
      <c r="B152" s="155"/>
      <c r="C152" s="155"/>
      <c r="D152" s="155"/>
      <c r="E152" s="155"/>
      <c r="F152" s="155"/>
      <c r="G152" s="155"/>
      <c r="H152" s="155"/>
      <c r="I152" s="155"/>
      <c r="J152" s="155"/>
      <c r="K152" s="155"/>
      <c r="L152" s="155"/>
      <c r="M152" s="155"/>
      <c r="N152" s="155"/>
      <c r="O152" s="155"/>
      <c r="P152" s="155"/>
      <c r="Q152" s="155"/>
      <c r="R152" s="155"/>
      <c r="S152" s="155"/>
      <c r="T152" s="155"/>
      <c r="U152" s="155"/>
    </row>
    <row r="153" spans="1:21" s="157" customFormat="1">
      <c r="A153" s="145"/>
      <c r="B153" s="155"/>
      <c r="C153" s="155"/>
      <c r="D153" s="155"/>
      <c r="E153" s="155"/>
      <c r="F153" s="155"/>
      <c r="G153" s="155"/>
      <c r="H153" s="155"/>
      <c r="I153" s="155"/>
      <c r="J153" s="155"/>
      <c r="K153" s="155"/>
      <c r="L153" s="155"/>
      <c r="M153" s="155"/>
      <c r="N153" s="155"/>
      <c r="O153" s="155"/>
      <c r="P153" s="155"/>
      <c r="Q153" s="155"/>
      <c r="R153" s="155"/>
      <c r="S153" s="155"/>
      <c r="T153" s="155"/>
      <c r="U153" s="155"/>
    </row>
    <row r="154" spans="1:21" s="157" customFormat="1">
      <c r="A154" s="145"/>
      <c r="B154" s="155"/>
      <c r="C154" s="155"/>
      <c r="D154" s="155"/>
      <c r="E154" s="155"/>
      <c r="F154" s="155"/>
      <c r="G154" s="155"/>
      <c r="H154" s="155"/>
      <c r="I154" s="155"/>
      <c r="J154" s="155"/>
      <c r="K154" s="155"/>
      <c r="L154" s="155"/>
      <c r="M154" s="155"/>
      <c r="N154" s="155"/>
      <c r="O154" s="155"/>
      <c r="P154" s="155"/>
      <c r="Q154" s="155"/>
      <c r="R154" s="155"/>
      <c r="S154" s="155"/>
      <c r="T154" s="155"/>
      <c r="U154" s="155"/>
    </row>
    <row r="155" spans="1:21" s="157" customFormat="1">
      <c r="A155" s="145"/>
      <c r="B155" s="155"/>
      <c r="C155" s="155"/>
      <c r="D155" s="155"/>
      <c r="E155" s="155"/>
      <c r="F155" s="155"/>
      <c r="G155" s="155"/>
      <c r="H155" s="155"/>
      <c r="I155" s="155"/>
      <c r="J155" s="155"/>
      <c r="K155" s="155"/>
      <c r="L155" s="155"/>
      <c r="M155" s="155"/>
      <c r="N155" s="155"/>
      <c r="O155" s="155"/>
      <c r="P155" s="155"/>
      <c r="Q155" s="155"/>
      <c r="R155" s="155"/>
      <c r="S155" s="155"/>
      <c r="T155" s="155"/>
      <c r="U155" s="155"/>
    </row>
    <row r="156" spans="1:21" s="157" customFormat="1">
      <c r="A156" s="145"/>
      <c r="B156" s="155"/>
      <c r="C156" s="155"/>
      <c r="D156" s="155"/>
      <c r="E156" s="155"/>
      <c r="F156" s="155"/>
      <c r="G156" s="155"/>
      <c r="H156" s="155"/>
      <c r="I156" s="155"/>
      <c r="J156" s="155"/>
      <c r="K156" s="155"/>
      <c r="L156" s="155"/>
      <c r="M156" s="155"/>
      <c r="N156" s="155"/>
      <c r="O156" s="155"/>
      <c r="P156" s="155"/>
      <c r="Q156" s="155"/>
      <c r="R156" s="155"/>
      <c r="S156" s="155"/>
      <c r="T156" s="155"/>
      <c r="U156" s="155"/>
    </row>
    <row r="157" spans="1:21" s="157" customFormat="1">
      <c r="A157" s="145"/>
      <c r="B157" s="155"/>
      <c r="C157" s="155"/>
      <c r="D157" s="155"/>
      <c r="E157" s="155"/>
      <c r="F157" s="155"/>
      <c r="G157" s="155"/>
      <c r="H157" s="155"/>
      <c r="I157" s="155"/>
      <c r="J157" s="155"/>
      <c r="K157" s="155"/>
      <c r="L157" s="155"/>
      <c r="M157" s="155"/>
      <c r="N157" s="155"/>
      <c r="O157" s="155"/>
      <c r="P157" s="155"/>
      <c r="Q157" s="155"/>
      <c r="R157" s="155"/>
      <c r="S157" s="155"/>
      <c r="T157" s="155"/>
      <c r="U157" s="155"/>
    </row>
    <row r="158" spans="1:21" s="157" customFormat="1">
      <c r="A158" s="145"/>
      <c r="B158" s="155"/>
      <c r="C158" s="155"/>
      <c r="D158" s="155"/>
      <c r="E158" s="155"/>
      <c r="F158" s="155"/>
      <c r="G158" s="155"/>
      <c r="H158" s="155"/>
      <c r="I158" s="155"/>
      <c r="J158" s="155"/>
      <c r="K158" s="155"/>
      <c r="L158" s="155"/>
      <c r="M158" s="155"/>
      <c r="N158" s="155"/>
      <c r="O158" s="155"/>
      <c r="P158" s="155"/>
      <c r="Q158" s="155"/>
      <c r="R158" s="155"/>
      <c r="S158" s="155"/>
      <c r="T158" s="155"/>
      <c r="U158" s="155"/>
    </row>
    <row r="159" spans="1:21" s="157" customFormat="1">
      <c r="A159" s="145"/>
      <c r="B159" s="155"/>
      <c r="C159" s="155"/>
      <c r="D159" s="155"/>
      <c r="E159" s="155"/>
      <c r="F159" s="155"/>
      <c r="G159" s="155"/>
      <c r="H159" s="155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</row>
    <row r="160" spans="1:21" s="157" customFormat="1">
      <c r="A160" s="145"/>
      <c r="B160" s="155"/>
      <c r="C160" s="155"/>
      <c r="D160" s="155"/>
      <c r="E160" s="155"/>
      <c r="F160" s="155"/>
      <c r="G160" s="155"/>
      <c r="H160" s="155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</row>
    <row r="161" spans="1:21" s="157" customFormat="1">
      <c r="A161" s="145"/>
      <c r="B161" s="155"/>
      <c r="C161" s="155"/>
      <c r="D161" s="155"/>
      <c r="E161" s="155"/>
      <c r="F161" s="155"/>
      <c r="G161" s="155"/>
      <c r="H161" s="155"/>
      <c r="I161" s="155"/>
      <c r="J161" s="155"/>
      <c r="K161" s="155"/>
      <c r="L161" s="155"/>
      <c r="M161" s="155"/>
      <c r="N161" s="155"/>
      <c r="O161" s="155"/>
      <c r="P161" s="155"/>
      <c r="Q161" s="155"/>
      <c r="R161" s="155"/>
      <c r="S161" s="155"/>
      <c r="T161" s="155"/>
      <c r="U161" s="155"/>
    </row>
    <row r="162" spans="1:21" s="157" customFormat="1">
      <c r="A162" s="145"/>
      <c r="B162" s="155"/>
      <c r="C162" s="155"/>
      <c r="D162" s="155"/>
      <c r="E162" s="155"/>
      <c r="F162" s="155"/>
      <c r="G162" s="155"/>
      <c r="H162" s="155"/>
      <c r="I162" s="155"/>
      <c r="J162" s="155"/>
      <c r="K162" s="155"/>
      <c r="L162" s="155"/>
      <c r="M162" s="155"/>
      <c r="N162" s="155"/>
      <c r="O162" s="155"/>
      <c r="P162" s="155"/>
      <c r="Q162" s="155"/>
      <c r="R162" s="155"/>
      <c r="S162" s="155"/>
      <c r="T162" s="155"/>
      <c r="U162" s="155"/>
    </row>
    <row r="163" spans="1:21" s="157" customFormat="1">
      <c r="A163" s="145"/>
      <c r="B163" s="155"/>
      <c r="C163" s="155"/>
      <c r="D163" s="155"/>
      <c r="E163" s="155"/>
      <c r="F163" s="155"/>
      <c r="G163" s="155"/>
      <c r="H163" s="155"/>
      <c r="I163" s="155"/>
      <c r="J163" s="155"/>
      <c r="K163" s="155"/>
      <c r="L163" s="155"/>
      <c r="M163" s="155"/>
      <c r="N163" s="155"/>
      <c r="O163" s="155"/>
      <c r="P163" s="155"/>
      <c r="Q163" s="155"/>
      <c r="R163" s="155"/>
      <c r="S163" s="155"/>
      <c r="T163" s="155"/>
      <c r="U163" s="155"/>
    </row>
    <row r="164" spans="1:21" s="157" customFormat="1">
      <c r="A164" s="145"/>
      <c r="B164" s="155"/>
      <c r="C164" s="155"/>
      <c r="D164" s="155"/>
      <c r="E164" s="155"/>
      <c r="F164" s="155"/>
      <c r="G164" s="155"/>
      <c r="H164" s="155"/>
      <c r="I164" s="155"/>
      <c r="J164" s="155"/>
      <c r="K164" s="155"/>
      <c r="L164" s="155"/>
      <c r="M164" s="155"/>
      <c r="N164" s="155"/>
      <c r="O164" s="155"/>
      <c r="P164" s="155"/>
      <c r="Q164" s="155"/>
      <c r="R164" s="155"/>
      <c r="S164" s="155"/>
      <c r="T164" s="155"/>
      <c r="U164" s="155"/>
    </row>
    <row r="165" spans="1:21" s="157" customFormat="1">
      <c r="A165" s="145"/>
      <c r="B165" s="155"/>
      <c r="C165" s="155"/>
      <c r="D165" s="155"/>
      <c r="E165" s="155"/>
      <c r="F165" s="155"/>
      <c r="G165" s="155"/>
      <c r="H165" s="155"/>
      <c r="I165" s="155"/>
      <c r="J165" s="155"/>
      <c r="K165" s="155"/>
      <c r="L165" s="155"/>
      <c r="M165" s="155"/>
      <c r="N165" s="155"/>
      <c r="O165" s="155"/>
      <c r="P165" s="155"/>
      <c r="Q165" s="155"/>
      <c r="R165" s="155"/>
      <c r="S165" s="155"/>
      <c r="T165" s="155"/>
      <c r="U165" s="155"/>
    </row>
    <row r="166" spans="1:21" s="157" customFormat="1">
      <c r="A166" s="145"/>
      <c r="B166" s="155"/>
      <c r="C166" s="155"/>
      <c r="D166" s="155"/>
      <c r="E166" s="155"/>
      <c r="F166" s="155"/>
      <c r="G166" s="155"/>
      <c r="H166" s="155"/>
      <c r="I166" s="155"/>
      <c r="J166" s="155"/>
      <c r="K166" s="155"/>
      <c r="L166" s="155"/>
      <c r="M166" s="155"/>
      <c r="N166" s="155"/>
      <c r="O166" s="155"/>
      <c r="P166" s="155"/>
      <c r="Q166" s="155"/>
      <c r="R166" s="155"/>
      <c r="S166" s="155"/>
      <c r="T166" s="155"/>
      <c r="U166" s="155"/>
    </row>
    <row r="167" spans="1:21" s="157" customFormat="1">
      <c r="A167" s="145"/>
      <c r="B167" s="155"/>
      <c r="C167" s="155"/>
      <c r="D167" s="155"/>
      <c r="E167" s="155"/>
      <c r="F167" s="155"/>
      <c r="G167" s="155"/>
      <c r="H167" s="155"/>
      <c r="I167" s="155"/>
      <c r="J167" s="155"/>
      <c r="K167" s="155"/>
      <c r="L167" s="155"/>
      <c r="M167" s="155"/>
      <c r="N167" s="155"/>
      <c r="O167" s="155"/>
      <c r="P167" s="155"/>
      <c r="Q167" s="155"/>
      <c r="R167" s="155"/>
      <c r="S167" s="155"/>
      <c r="T167" s="155"/>
      <c r="U167" s="155"/>
    </row>
    <row r="168" spans="1:21" s="157" customFormat="1">
      <c r="A168" s="145"/>
      <c r="B168" s="155"/>
      <c r="C168" s="155"/>
      <c r="D168" s="155"/>
      <c r="E168" s="155"/>
      <c r="F168" s="155"/>
      <c r="G168" s="155"/>
      <c r="H168" s="155"/>
      <c r="I168" s="155"/>
      <c r="J168" s="155"/>
      <c r="K168" s="155"/>
      <c r="L168" s="155"/>
      <c r="M168" s="155"/>
      <c r="N168" s="155"/>
      <c r="O168" s="155"/>
      <c r="P168" s="155"/>
      <c r="Q168" s="155"/>
      <c r="R168" s="155"/>
      <c r="S168" s="155"/>
      <c r="T168" s="155"/>
      <c r="U168" s="155"/>
    </row>
    <row r="169" spans="1:21" s="157" customFormat="1">
      <c r="A169" s="145"/>
      <c r="B169" s="155"/>
      <c r="C169" s="155"/>
      <c r="D169" s="155"/>
      <c r="E169" s="155"/>
      <c r="F169" s="155"/>
      <c r="G169" s="155"/>
      <c r="H169" s="155"/>
      <c r="I169" s="155"/>
      <c r="J169" s="155"/>
      <c r="K169" s="155"/>
      <c r="L169" s="155"/>
      <c r="M169" s="155"/>
      <c r="N169" s="155"/>
      <c r="O169" s="155"/>
      <c r="P169" s="155"/>
      <c r="Q169" s="155"/>
      <c r="R169" s="155"/>
      <c r="S169" s="155"/>
      <c r="T169" s="155"/>
      <c r="U169" s="155"/>
    </row>
    <row r="170" spans="1:21" s="157" customFormat="1">
      <c r="A170" s="145"/>
      <c r="B170" s="155"/>
      <c r="C170" s="155"/>
      <c r="D170" s="155"/>
      <c r="E170" s="155"/>
      <c r="F170" s="155"/>
      <c r="G170" s="155"/>
      <c r="H170" s="155"/>
      <c r="I170" s="155"/>
      <c r="J170" s="155"/>
      <c r="K170" s="155"/>
      <c r="L170" s="155"/>
      <c r="M170" s="155"/>
      <c r="N170" s="155"/>
      <c r="O170" s="155"/>
      <c r="P170" s="155"/>
      <c r="Q170" s="155"/>
      <c r="R170" s="155"/>
      <c r="S170" s="155"/>
      <c r="T170" s="155"/>
      <c r="U170" s="155"/>
    </row>
    <row r="171" spans="1:21" s="157" customFormat="1">
      <c r="A171" s="145"/>
      <c r="B171" s="155"/>
      <c r="C171" s="155"/>
      <c r="D171" s="155"/>
      <c r="E171" s="155"/>
      <c r="F171" s="155"/>
      <c r="G171" s="155"/>
      <c r="H171" s="155"/>
      <c r="I171" s="155"/>
      <c r="J171" s="155"/>
      <c r="K171" s="155"/>
      <c r="L171" s="155"/>
      <c r="M171" s="155"/>
      <c r="N171" s="155"/>
      <c r="O171" s="155"/>
      <c r="P171" s="155"/>
      <c r="Q171" s="155"/>
      <c r="R171" s="155"/>
      <c r="S171" s="155"/>
      <c r="T171" s="155"/>
      <c r="U171" s="155"/>
    </row>
    <row r="172" spans="1:21" s="157" customFormat="1">
      <c r="A172" s="145"/>
      <c r="B172" s="155"/>
      <c r="C172" s="155"/>
      <c r="D172" s="155"/>
      <c r="E172" s="155"/>
      <c r="F172" s="155"/>
      <c r="G172" s="155"/>
      <c r="H172" s="155"/>
      <c r="I172" s="155"/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155"/>
    </row>
    <row r="173" spans="1:21" s="157" customFormat="1">
      <c r="A173" s="145"/>
      <c r="B173" s="155"/>
      <c r="C173" s="155"/>
      <c r="D173" s="155"/>
      <c r="E173" s="155"/>
      <c r="F173" s="155"/>
      <c r="G173" s="155"/>
      <c r="H173" s="155"/>
      <c r="I173" s="155"/>
      <c r="J173" s="155"/>
      <c r="K173" s="155"/>
      <c r="L173" s="155"/>
      <c r="M173" s="155"/>
      <c r="N173" s="155"/>
      <c r="O173" s="155"/>
      <c r="P173" s="155"/>
      <c r="Q173" s="155"/>
      <c r="R173" s="155"/>
      <c r="S173" s="155"/>
      <c r="T173" s="155"/>
      <c r="U173" s="155"/>
    </row>
    <row r="174" spans="1:21" s="157" customFormat="1">
      <c r="A174" s="145"/>
      <c r="B174" s="155"/>
      <c r="C174" s="155"/>
      <c r="D174" s="155"/>
      <c r="E174" s="155"/>
      <c r="F174" s="155"/>
      <c r="G174" s="155"/>
      <c r="H174" s="155"/>
      <c r="I174" s="155"/>
      <c r="J174" s="155"/>
      <c r="K174" s="155"/>
      <c r="L174" s="155"/>
      <c r="M174" s="155"/>
      <c r="N174" s="155"/>
      <c r="O174" s="155"/>
      <c r="P174" s="155"/>
      <c r="Q174" s="155"/>
      <c r="R174" s="155"/>
      <c r="S174" s="155"/>
      <c r="T174" s="155"/>
      <c r="U174" s="155"/>
    </row>
    <row r="175" spans="1:21" s="157" customFormat="1">
      <c r="A175" s="145"/>
      <c r="B175" s="155"/>
      <c r="C175" s="155"/>
      <c r="D175" s="155"/>
      <c r="E175" s="155"/>
      <c r="F175" s="155"/>
      <c r="G175" s="155"/>
      <c r="H175" s="155"/>
      <c r="I175" s="155"/>
      <c r="J175" s="155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</row>
    <row r="176" spans="1:21" s="157" customFormat="1">
      <c r="A176" s="145"/>
      <c r="B176" s="155"/>
      <c r="C176" s="155"/>
      <c r="D176" s="155"/>
      <c r="E176" s="155"/>
      <c r="F176" s="155"/>
      <c r="G176" s="155"/>
      <c r="H176" s="155"/>
      <c r="I176" s="155"/>
      <c r="J176" s="155"/>
      <c r="K176" s="155"/>
      <c r="L176" s="155"/>
      <c r="M176" s="155"/>
      <c r="N176" s="155"/>
      <c r="O176" s="155"/>
      <c r="P176" s="155"/>
      <c r="Q176" s="155"/>
      <c r="R176" s="155"/>
      <c r="S176" s="155"/>
      <c r="T176" s="155"/>
      <c r="U176" s="155"/>
    </row>
    <row r="177" spans="1:21" s="157" customFormat="1">
      <c r="A177" s="145"/>
      <c r="B177" s="155"/>
      <c r="C177" s="155"/>
      <c r="D177" s="155"/>
      <c r="E177" s="155"/>
      <c r="F177" s="155"/>
      <c r="G177" s="155"/>
      <c r="H177" s="155"/>
      <c r="I177" s="155"/>
      <c r="J177" s="155"/>
      <c r="K177" s="155"/>
      <c r="L177" s="155"/>
      <c r="M177" s="155"/>
      <c r="N177" s="155"/>
      <c r="O177" s="155"/>
      <c r="P177" s="155"/>
      <c r="Q177" s="155"/>
      <c r="R177" s="155"/>
      <c r="S177" s="155"/>
      <c r="T177" s="155"/>
      <c r="U177" s="155"/>
    </row>
    <row r="178" spans="1:21" s="157" customFormat="1">
      <c r="A178" s="145"/>
      <c r="B178" s="155"/>
      <c r="C178" s="155"/>
      <c r="D178" s="155"/>
      <c r="E178" s="155"/>
      <c r="F178" s="155"/>
      <c r="G178" s="155"/>
      <c r="H178" s="155"/>
      <c r="I178" s="155"/>
      <c r="J178" s="155"/>
      <c r="K178" s="155"/>
      <c r="L178" s="155"/>
      <c r="M178" s="155"/>
      <c r="N178" s="155"/>
      <c r="O178" s="155"/>
      <c r="P178" s="155"/>
      <c r="Q178" s="155"/>
      <c r="R178" s="155"/>
      <c r="S178" s="155"/>
      <c r="T178" s="155"/>
      <c r="U178" s="155"/>
    </row>
    <row r="179" spans="1:21" s="157" customFormat="1">
      <c r="A179" s="145"/>
      <c r="B179" s="155"/>
      <c r="C179" s="155"/>
      <c r="D179" s="155"/>
      <c r="E179" s="155"/>
      <c r="F179" s="155"/>
      <c r="G179" s="155"/>
      <c r="H179" s="155"/>
      <c r="I179" s="155"/>
      <c r="J179" s="155"/>
      <c r="K179" s="155"/>
      <c r="L179" s="155"/>
      <c r="M179" s="155"/>
      <c r="N179" s="155"/>
      <c r="O179" s="155"/>
      <c r="P179" s="155"/>
      <c r="Q179" s="155"/>
      <c r="R179" s="155"/>
      <c r="S179" s="155"/>
      <c r="T179" s="155"/>
      <c r="U179" s="155"/>
    </row>
    <row r="180" spans="1:21" s="157" customFormat="1">
      <c r="A180" s="145"/>
      <c r="B180" s="155"/>
      <c r="C180" s="155"/>
      <c r="D180" s="155"/>
      <c r="E180" s="155"/>
      <c r="F180" s="155"/>
      <c r="G180" s="155"/>
      <c r="H180" s="155"/>
      <c r="I180" s="155"/>
      <c r="J180" s="155"/>
      <c r="K180" s="155"/>
      <c r="L180" s="155"/>
      <c r="M180" s="155"/>
      <c r="N180" s="155"/>
      <c r="O180" s="155"/>
      <c r="P180" s="155"/>
      <c r="Q180" s="155"/>
      <c r="R180" s="155"/>
      <c r="S180" s="155"/>
      <c r="T180" s="155"/>
      <c r="U180" s="155"/>
    </row>
    <row r="181" spans="1:21" s="157" customFormat="1">
      <c r="A181" s="145"/>
      <c r="B181" s="155"/>
      <c r="C181" s="155"/>
      <c r="D181" s="155"/>
      <c r="E181" s="155"/>
      <c r="F181" s="155"/>
      <c r="G181" s="155"/>
      <c r="H181" s="155"/>
      <c r="I181" s="155"/>
      <c r="J181" s="155"/>
      <c r="K181" s="155"/>
      <c r="L181" s="155"/>
      <c r="M181" s="155"/>
      <c r="N181" s="155"/>
      <c r="O181" s="155"/>
      <c r="P181" s="155"/>
      <c r="Q181" s="155"/>
      <c r="R181" s="155"/>
      <c r="S181" s="155"/>
      <c r="T181" s="155"/>
      <c r="U181" s="155"/>
    </row>
    <row r="182" spans="1:21" s="157" customFormat="1">
      <c r="A182" s="145"/>
      <c r="B182" s="155"/>
      <c r="C182" s="155"/>
      <c r="D182" s="155"/>
      <c r="E182" s="155"/>
      <c r="F182" s="155"/>
      <c r="G182" s="155"/>
      <c r="H182" s="155"/>
      <c r="I182" s="155"/>
      <c r="J182" s="155"/>
      <c r="K182" s="155"/>
      <c r="L182" s="155"/>
      <c r="M182" s="155"/>
      <c r="N182" s="155"/>
      <c r="O182" s="155"/>
      <c r="P182" s="155"/>
      <c r="Q182" s="155"/>
      <c r="R182" s="155"/>
      <c r="S182" s="155"/>
      <c r="T182" s="155"/>
      <c r="U182" s="155"/>
    </row>
    <row r="183" spans="1:21" s="157" customFormat="1">
      <c r="A183" s="145"/>
      <c r="B183" s="155"/>
      <c r="C183" s="155"/>
      <c r="D183" s="155"/>
      <c r="E183" s="155"/>
      <c r="F183" s="155"/>
      <c r="G183" s="155"/>
      <c r="H183" s="155"/>
      <c r="I183" s="155"/>
      <c r="J183" s="155"/>
      <c r="K183" s="155"/>
      <c r="L183" s="155"/>
      <c r="M183" s="155"/>
      <c r="N183" s="155"/>
      <c r="O183" s="155"/>
      <c r="P183" s="155"/>
      <c r="Q183" s="155"/>
      <c r="R183" s="155"/>
      <c r="S183" s="155"/>
      <c r="T183" s="155"/>
      <c r="U183" s="155"/>
    </row>
    <row r="184" spans="1:21" s="157" customFormat="1">
      <c r="A184" s="145"/>
      <c r="B184" s="155"/>
      <c r="C184" s="155"/>
      <c r="D184" s="155"/>
      <c r="E184" s="155"/>
      <c r="F184" s="155"/>
      <c r="G184" s="155"/>
      <c r="H184" s="155"/>
      <c r="I184" s="155"/>
      <c r="J184" s="155"/>
      <c r="K184" s="155"/>
      <c r="L184" s="155"/>
      <c r="M184" s="155"/>
      <c r="N184" s="155"/>
      <c r="O184" s="155"/>
      <c r="P184" s="155"/>
      <c r="Q184" s="155"/>
      <c r="R184" s="155"/>
      <c r="S184" s="155"/>
      <c r="T184" s="155"/>
      <c r="U184" s="155"/>
    </row>
    <row r="185" spans="1:21" s="157" customFormat="1">
      <c r="A185" s="145"/>
      <c r="B185" s="155"/>
      <c r="C185" s="155"/>
      <c r="D185" s="155"/>
      <c r="E185" s="155"/>
      <c r="F185" s="155"/>
      <c r="G185" s="155"/>
      <c r="H185" s="155"/>
      <c r="I185" s="155"/>
      <c r="J185" s="155"/>
      <c r="K185" s="155"/>
      <c r="L185" s="155"/>
      <c r="M185" s="155"/>
      <c r="N185" s="155"/>
      <c r="O185" s="155"/>
      <c r="P185" s="155"/>
      <c r="Q185" s="155"/>
      <c r="R185" s="155"/>
      <c r="S185" s="155"/>
      <c r="T185" s="155"/>
      <c r="U185" s="155"/>
    </row>
    <row r="186" spans="1:21" s="157" customFormat="1">
      <c r="A186" s="145"/>
      <c r="B186" s="155"/>
      <c r="C186" s="155"/>
      <c r="D186" s="155"/>
      <c r="E186" s="155"/>
      <c r="F186" s="155"/>
      <c r="G186" s="155"/>
      <c r="H186" s="155"/>
      <c r="I186" s="155"/>
      <c r="J186" s="155"/>
      <c r="K186" s="155"/>
      <c r="L186" s="155"/>
      <c r="M186" s="155"/>
      <c r="N186" s="155"/>
      <c r="O186" s="155"/>
      <c r="P186" s="155"/>
      <c r="Q186" s="155"/>
      <c r="R186" s="155"/>
      <c r="S186" s="155"/>
      <c r="T186" s="155"/>
      <c r="U186" s="155"/>
    </row>
    <row r="187" spans="1:21" s="157" customFormat="1">
      <c r="A187" s="145"/>
      <c r="B187" s="155"/>
      <c r="C187" s="155"/>
      <c r="D187" s="155"/>
      <c r="E187" s="155"/>
      <c r="F187" s="155"/>
      <c r="G187" s="155"/>
      <c r="H187" s="155"/>
      <c r="I187" s="155"/>
      <c r="J187" s="155"/>
      <c r="K187" s="155"/>
      <c r="L187" s="155"/>
      <c r="M187" s="155"/>
      <c r="N187" s="155"/>
      <c r="O187" s="155"/>
      <c r="P187" s="155"/>
      <c r="Q187" s="155"/>
      <c r="R187" s="155"/>
      <c r="S187" s="155"/>
      <c r="T187" s="155"/>
      <c r="U187" s="155"/>
    </row>
    <row r="188" spans="1:21" s="157" customFormat="1">
      <c r="A188" s="145"/>
      <c r="B188" s="155"/>
      <c r="C188" s="155"/>
      <c r="D188" s="155"/>
      <c r="E188" s="155"/>
      <c r="F188" s="155"/>
      <c r="G188" s="155"/>
      <c r="H188" s="155"/>
      <c r="I188" s="155"/>
      <c r="J188" s="155"/>
      <c r="K188" s="155"/>
      <c r="L188" s="155"/>
      <c r="M188" s="155"/>
      <c r="N188" s="155"/>
      <c r="O188" s="155"/>
      <c r="P188" s="155"/>
      <c r="Q188" s="155"/>
      <c r="R188" s="155"/>
      <c r="S188" s="155"/>
      <c r="T188" s="155"/>
      <c r="U188" s="155"/>
    </row>
    <row r="189" spans="1:21" s="157" customFormat="1">
      <c r="A189" s="145"/>
      <c r="B189" s="155"/>
      <c r="C189" s="155"/>
      <c r="D189" s="155"/>
      <c r="E189" s="155"/>
      <c r="F189" s="155"/>
      <c r="G189" s="155"/>
      <c r="H189" s="155"/>
      <c r="I189" s="155"/>
      <c r="J189" s="155"/>
      <c r="K189" s="155"/>
      <c r="L189" s="155"/>
      <c r="M189" s="155"/>
      <c r="N189" s="155"/>
      <c r="O189" s="155"/>
      <c r="P189" s="155"/>
      <c r="Q189" s="155"/>
      <c r="R189" s="155"/>
      <c r="S189" s="155"/>
      <c r="T189" s="155"/>
      <c r="U189" s="155"/>
    </row>
    <row r="190" spans="1:21" s="157" customFormat="1">
      <c r="A190" s="145"/>
      <c r="B190" s="155"/>
      <c r="C190" s="155"/>
      <c r="D190" s="155"/>
      <c r="E190" s="155"/>
      <c r="F190" s="155"/>
      <c r="G190" s="155"/>
      <c r="H190" s="155"/>
      <c r="I190" s="155"/>
      <c r="J190" s="155"/>
      <c r="K190" s="155"/>
      <c r="L190" s="155"/>
      <c r="M190" s="155"/>
      <c r="N190" s="155"/>
      <c r="O190" s="155"/>
      <c r="P190" s="155"/>
      <c r="Q190" s="155"/>
      <c r="R190" s="155"/>
      <c r="S190" s="155"/>
      <c r="T190" s="155"/>
      <c r="U190" s="155"/>
    </row>
    <row r="191" spans="1:21">
      <c r="A191" s="145"/>
    </row>
    <row r="192" spans="1:21">
      <c r="A192" s="145"/>
    </row>
    <row r="193" spans="1:1">
      <c r="A193" s="145"/>
    </row>
    <row r="194" spans="1:1">
      <c r="A194" s="145"/>
    </row>
    <row r="195" spans="1:1">
      <c r="A195" s="145"/>
    </row>
    <row r="196" spans="1:1">
      <c r="A196" s="145"/>
    </row>
    <row r="197" spans="1:1">
      <c r="A197" s="145"/>
    </row>
    <row r="198" spans="1:1">
      <c r="A198" s="145"/>
    </row>
    <row r="199" spans="1:1">
      <c r="A199" s="145"/>
    </row>
    <row r="200" spans="1:1">
      <c r="A200" s="145"/>
    </row>
    <row r="201" spans="1:1">
      <c r="A201" s="145"/>
    </row>
    <row r="202" spans="1:1">
      <c r="A202" s="145"/>
    </row>
    <row r="203" spans="1:1">
      <c r="A203" s="145"/>
    </row>
    <row r="204" spans="1:1">
      <c r="A204" s="145"/>
    </row>
    <row r="205" spans="1:1">
      <c r="A205" s="145"/>
    </row>
    <row r="206" spans="1:1">
      <c r="A206" s="145"/>
    </row>
    <row r="207" spans="1:1">
      <c r="A207" s="145"/>
    </row>
    <row r="208" spans="1:1">
      <c r="A208" s="145"/>
    </row>
    <row r="209" spans="1:1">
      <c r="A209" s="145"/>
    </row>
    <row r="210" spans="1:1">
      <c r="A210" s="145"/>
    </row>
    <row r="211" spans="1:1">
      <c r="A211" s="145"/>
    </row>
    <row r="212" spans="1:1">
      <c r="A212" s="145"/>
    </row>
    <row r="213" spans="1:1">
      <c r="A213" s="145"/>
    </row>
    <row r="214" spans="1:1">
      <c r="A214" s="145"/>
    </row>
    <row r="215" spans="1:1">
      <c r="A215" s="145"/>
    </row>
    <row r="216" spans="1:1">
      <c r="A216" s="145"/>
    </row>
    <row r="217" spans="1:1">
      <c r="A217" s="145"/>
    </row>
    <row r="218" spans="1:1">
      <c r="A218" s="145"/>
    </row>
    <row r="219" spans="1:1">
      <c r="A219" s="145"/>
    </row>
    <row r="220" spans="1:1">
      <c r="A220" s="145"/>
    </row>
    <row r="221" spans="1:1">
      <c r="A221" s="145"/>
    </row>
    <row r="222" spans="1:1">
      <c r="A222" s="145"/>
    </row>
    <row r="223" spans="1:1">
      <c r="A223" s="145"/>
    </row>
    <row r="224" spans="1:1">
      <c r="A224" s="145"/>
    </row>
    <row r="225" spans="1:1">
      <c r="A225" s="145"/>
    </row>
    <row r="226" spans="1:1">
      <c r="A226" s="145"/>
    </row>
    <row r="227" spans="1:1">
      <c r="A227" s="145"/>
    </row>
    <row r="228" spans="1:1">
      <c r="A228" s="145"/>
    </row>
    <row r="229" spans="1:1">
      <c r="A229" s="145"/>
    </row>
    <row r="230" spans="1:1">
      <c r="A230" s="145"/>
    </row>
    <row r="231" spans="1:1">
      <c r="A231" s="145"/>
    </row>
    <row r="232" spans="1:1">
      <c r="A232" s="145"/>
    </row>
    <row r="233" spans="1:1">
      <c r="A233" s="145"/>
    </row>
    <row r="234" spans="1:1">
      <c r="A234" s="145"/>
    </row>
    <row r="235" spans="1:1">
      <c r="A235" s="145"/>
    </row>
    <row r="236" spans="1:1">
      <c r="A236" s="145"/>
    </row>
    <row r="237" spans="1:1">
      <c r="A237" s="145"/>
    </row>
    <row r="238" spans="1:1">
      <c r="A238" s="145"/>
    </row>
    <row r="239" spans="1:1">
      <c r="A239" s="145"/>
    </row>
    <row r="240" spans="1:1">
      <c r="A240" s="145"/>
    </row>
    <row r="241" spans="1:1">
      <c r="A241" s="145"/>
    </row>
    <row r="242" spans="1:1">
      <c r="A242" s="145"/>
    </row>
    <row r="243" spans="1:1">
      <c r="A243" s="145"/>
    </row>
    <row r="244" spans="1:1">
      <c r="A244" s="145"/>
    </row>
    <row r="245" spans="1:1">
      <c r="A245" s="145"/>
    </row>
  </sheetData>
  <mergeCells count="10">
    <mergeCell ref="N3:O3"/>
    <mergeCell ref="P3:Q3"/>
    <mergeCell ref="R3:S3"/>
    <mergeCell ref="T3:U3"/>
    <mergeCell ref="B3:C3"/>
    <mergeCell ref="D3:E3"/>
    <mergeCell ref="F3:G3"/>
    <mergeCell ref="H3:I3"/>
    <mergeCell ref="J3:K3"/>
    <mergeCell ref="L3:M3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58"/>
  <sheetViews>
    <sheetView zoomScale="80" zoomScaleNormal="80" workbookViewId="0">
      <selection activeCell="K43" sqref="K43"/>
    </sheetView>
  </sheetViews>
  <sheetFormatPr defaultColWidth="9" defaultRowHeight="15.6"/>
  <cols>
    <col min="1" max="1" width="6.19921875" style="155" customWidth="1"/>
    <col min="2" max="2" width="31.296875" style="155" customWidth="1"/>
    <col min="3" max="5" width="16.19921875" style="155" customWidth="1"/>
    <col min="6" max="10" width="9" style="136"/>
    <col min="11" max="11" width="29.59765625" style="136" bestFit="1" customWidth="1"/>
    <col min="12" max="12" width="12.19921875" style="136" bestFit="1" customWidth="1"/>
    <col min="13" max="16384" width="9" style="136"/>
  </cols>
  <sheetData>
    <row r="1" spans="1:13" ht="27" customHeight="1">
      <c r="A1" s="136"/>
      <c r="B1" s="135" t="s">
        <v>1197</v>
      </c>
      <c r="C1" s="136"/>
      <c r="D1" s="136"/>
      <c r="E1" s="136"/>
    </row>
    <row r="2" spans="1:13" ht="4.95" customHeight="1" thickBot="1">
      <c r="A2" s="136"/>
      <c r="B2" s="136"/>
      <c r="C2" s="136"/>
      <c r="D2" s="136"/>
      <c r="E2" s="136"/>
    </row>
    <row r="3" spans="1:13" ht="53.55" customHeight="1" thickBot="1">
      <c r="A3" s="136"/>
      <c r="B3" s="388" t="s">
        <v>1198</v>
      </c>
      <c r="C3" s="394"/>
      <c r="D3" s="156"/>
      <c r="E3" s="156"/>
    </row>
    <row r="4" spans="1:13" ht="19.95" customHeight="1" thickBot="1">
      <c r="A4" s="136"/>
      <c r="B4" s="139" t="s">
        <v>548</v>
      </c>
      <c r="C4" s="140" t="s">
        <v>549</v>
      </c>
      <c r="D4" s="156"/>
      <c r="E4" s="156"/>
    </row>
    <row r="5" spans="1:13" ht="15" customHeight="1">
      <c r="A5" s="145"/>
      <c r="B5" s="146" t="s">
        <v>1061</v>
      </c>
      <c r="C5" s="148" t="s">
        <v>551</v>
      </c>
      <c r="D5" s="156"/>
      <c r="E5" s="156"/>
    </row>
    <row r="6" spans="1:13" ht="15" customHeight="1">
      <c r="A6" s="145"/>
      <c r="B6" s="146" t="s">
        <v>1016</v>
      </c>
      <c r="C6" s="148" t="s">
        <v>1017</v>
      </c>
      <c r="D6" s="156"/>
      <c r="E6" s="156"/>
    </row>
    <row r="7" spans="1:13" ht="15" customHeight="1">
      <c r="A7" s="145"/>
      <c r="B7" s="146" t="s">
        <v>616</v>
      </c>
      <c r="C7" s="148" t="s">
        <v>617</v>
      </c>
      <c r="D7" s="156"/>
      <c r="E7" s="156"/>
    </row>
    <row r="8" spans="1:13" s="155" customFormat="1" ht="15" customHeight="1">
      <c r="A8" s="145"/>
      <c r="B8" s="146" t="s">
        <v>658</v>
      </c>
      <c r="C8" s="148" t="s">
        <v>660</v>
      </c>
      <c r="D8" s="156"/>
      <c r="E8" s="156"/>
      <c r="F8" s="136"/>
      <c r="K8" s="136"/>
      <c r="L8" s="136"/>
      <c r="M8" s="136"/>
    </row>
    <row r="9" spans="1:13" s="155" customFormat="1" ht="15" customHeight="1">
      <c r="A9" s="145"/>
      <c r="B9" s="146" t="s">
        <v>661</v>
      </c>
      <c r="C9" s="148" t="s">
        <v>662</v>
      </c>
      <c r="D9" s="156"/>
      <c r="E9" s="156"/>
      <c r="F9" s="136"/>
      <c r="K9" s="136"/>
      <c r="L9" s="136"/>
      <c r="M9" s="136"/>
    </row>
    <row r="10" spans="1:13" s="155" customFormat="1" ht="15" customHeight="1">
      <c r="A10" s="145"/>
      <c r="B10" s="146" t="s">
        <v>1027</v>
      </c>
      <c r="C10" s="148" t="s">
        <v>1028</v>
      </c>
      <c r="D10" s="156"/>
      <c r="E10" s="156"/>
      <c r="F10" s="136"/>
      <c r="K10" s="136"/>
      <c r="L10" s="136"/>
      <c r="M10" s="136"/>
    </row>
    <row r="11" spans="1:13" s="155" customFormat="1" ht="15" customHeight="1">
      <c r="A11" s="145"/>
      <c r="B11" s="146" t="s">
        <v>1029</v>
      </c>
      <c r="C11" s="148" t="s">
        <v>1030</v>
      </c>
      <c r="D11" s="156"/>
      <c r="E11" s="156"/>
      <c r="F11" s="136"/>
      <c r="K11" s="136"/>
      <c r="L11" s="136"/>
      <c r="M11" s="136"/>
    </row>
    <row r="12" spans="1:13" s="155" customFormat="1" ht="15" customHeight="1">
      <c r="A12" s="145"/>
      <c r="B12" s="146" t="s">
        <v>1239</v>
      </c>
      <c r="C12" s="148" t="s">
        <v>1240</v>
      </c>
      <c r="D12" s="156"/>
      <c r="E12" s="156"/>
      <c r="F12" s="136"/>
      <c r="K12" s="136"/>
      <c r="L12" s="136"/>
      <c r="M12" s="136"/>
    </row>
    <row r="13" spans="1:13" s="155" customFormat="1" ht="15" customHeight="1">
      <c r="A13" s="145"/>
      <c r="B13" s="237" t="s">
        <v>1079</v>
      </c>
      <c r="C13" s="238" t="s">
        <v>1080</v>
      </c>
      <c r="D13" s="156"/>
      <c r="E13" s="156"/>
      <c r="F13" s="136"/>
      <c r="K13" s="136"/>
      <c r="L13" s="136"/>
      <c r="M13" s="136"/>
    </row>
    <row r="14" spans="1:13" s="155" customFormat="1" ht="15" customHeight="1">
      <c r="A14" s="145"/>
      <c r="B14" s="245" t="s">
        <v>1091</v>
      </c>
      <c r="C14" s="246" t="s">
        <v>1092</v>
      </c>
      <c r="D14" s="156"/>
      <c r="E14" s="156"/>
      <c r="F14" s="136"/>
      <c r="K14" s="136"/>
      <c r="L14" s="136"/>
      <c r="M14" s="136"/>
    </row>
    <row r="15" spans="1:13" s="155" customFormat="1" ht="15" customHeight="1">
      <c r="A15" s="145"/>
      <c r="B15" s="245" t="s">
        <v>1097</v>
      </c>
      <c r="C15" s="246" t="s">
        <v>1098</v>
      </c>
      <c r="D15" s="156"/>
      <c r="E15" s="156"/>
      <c r="F15" s="136"/>
      <c r="K15" s="136"/>
      <c r="L15" s="136"/>
      <c r="M15" s="136"/>
    </row>
    <row r="16" spans="1:13" s="155" customFormat="1" ht="15" customHeight="1">
      <c r="A16" s="145"/>
      <c r="B16" s="237" t="s">
        <v>1106</v>
      </c>
      <c r="C16" s="238" t="s">
        <v>1107</v>
      </c>
      <c r="D16" s="156"/>
      <c r="E16" s="156"/>
      <c r="F16" s="136"/>
      <c r="K16" s="136"/>
      <c r="L16" s="136"/>
      <c r="M16" s="136"/>
    </row>
    <row r="17" spans="1:13" ht="15" customHeight="1">
      <c r="A17" s="145"/>
      <c r="B17" s="237" t="s">
        <v>1110</v>
      </c>
      <c r="C17" s="238" t="s">
        <v>1111</v>
      </c>
      <c r="D17" s="156"/>
      <c r="E17" s="156"/>
    </row>
    <row r="18" spans="1:13" ht="15" customHeight="1">
      <c r="A18" s="145"/>
      <c r="B18" s="245" t="s">
        <v>1126</v>
      </c>
      <c r="C18" s="246" t="s">
        <v>1127</v>
      </c>
      <c r="D18" s="156"/>
      <c r="E18" s="156"/>
    </row>
    <row r="19" spans="1:13" ht="15" customHeight="1">
      <c r="A19" s="145"/>
      <c r="B19" s="245" t="s">
        <v>1130</v>
      </c>
      <c r="C19" s="246" t="s">
        <v>1131</v>
      </c>
      <c r="D19" s="156"/>
      <c r="E19" s="156"/>
    </row>
    <row r="20" spans="1:13" s="157" customFormat="1" ht="15" customHeight="1">
      <c r="A20" s="145"/>
      <c r="B20" s="245" t="s">
        <v>1136</v>
      </c>
      <c r="C20" s="246" t="s">
        <v>1137</v>
      </c>
      <c r="D20" s="156"/>
      <c r="E20" s="156"/>
      <c r="K20" s="136"/>
      <c r="L20" s="136"/>
      <c r="M20" s="136"/>
    </row>
    <row r="21" spans="1:13" s="157" customFormat="1" ht="15" customHeight="1">
      <c r="A21" s="145"/>
      <c r="B21" s="245" t="s">
        <v>1148</v>
      </c>
      <c r="C21" s="246" t="s">
        <v>1149</v>
      </c>
      <c r="D21" s="156"/>
      <c r="E21" s="156"/>
      <c r="K21" s="136"/>
      <c r="L21" s="136"/>
      <c r="M21" s="136"/>
    </row>
    <row r="22" spans="1:13" s="157" customFormat="1" ht="15" customHeight="1">
      <c r="A22" s="145"/>
      <c r="B22" s="245" t="s">
        <v>1151</v>
      </c>
      <c r="C22" s="246" t="s">
        <v>1152</v>
      </c>
      <c r="D22" s="254"/>
      <c r="E22" s="254"/>
      <c r="K22" s="136"/>
      <c r="L22" s="136"/>
      <c r="M22" s="136"/>
    </row>
    <row r="23" spans="1:13" s="157" customFormat="1" ht="15" customHeight="1">
      <c r="A23" s="145"/>
      <c r="B23" s="245" t="s">
        <v>1153</v>
      </c>
      <c r="C23" s="246" t="s">
        <v>1154</v>
      </c>
      <c r="D23" s="254"/>
      <c r="E23" s="254"/>
      <c r="K23" s="136"/>
      <c r="L23" s="136"/>
      <c r="M23" s="136"/>
    </row>
    <row r="24" spans="1:13" s="157" customFormat="1" ht="15" customHeight="1">
      <c r="A24" s="145"/>
      <c r="B24" s="245" t="s">
        <v>1155</v>
      </c>
      <c r="C24" s="246" t="s">
        <v>1156</v>
      </c>
      <c r="D24" s="254"/>
      <c r="E24" s="254"/>
      <c r="K24" s="136"/>
      <c r="L24" s="136"/>
      <c r="M24" s="136"/>
    </row>
    <row r="25" spans="1:13" s="157" customFormat="1" ht="15" customHeight="1">
      <c r="A25" s="145"/>
      <c r="B25" s="245" t="s">
        <v>1157</v>
      </c>
      <c r="C25" s="246" t="s">
        <v>1158</v>
      </c>
      <c r="D25" s="254"/>
      <c r="E25" s="254"/>
      <c r="K25" s="136"/>
      <c r="L25" s="136"/>
      <c r="M25" s="136"/>
    </row>
    <row r="26" spans="1:13" s="157" customFormat="1" ht="15" customHeight="1">
      <c r="A26" s="145"/>
      <c r="B26" s="245" t="s">
        <v>1118</v>
      </c>
      <c r="C26" s="246" t="s">
        <v>1119</v>
      </c>
      <c r="D26" s="254"/>
      <c r="E26" s="254"/>
      <c r="K26" s="136"/>
      <c r="L26" s="136"/>
      <c r="M26" s="136"/>
    </row>
    <row r="27" spans="1:13" s="157" customFormat="1" ht="15" customHeight="1">
      <c r="A27" s="145"/>
      <c r="B27" s="245" t="s">
        <v>1163</v>
      </c>
      <c r="C27" s="246" t="s">
        <v>1164</v>
      </c>
      <c r="D27" s="254"/>
      <c r="E27" s="254"/>
      <c r="K27" s="136"/>
      <c r="L27" s="136"/>
      <c r="M27" s="136"/>
    </row>
    <row r="28" spans="1:13" s="157" customFormat="1" ht="15" customHeight="1">
      <c r="A28" s="145"/>
      <c r="B28" s="245" t="s">
        <v>1165</v>
      </c>
      <c r="C28" s="246" t="s">
        <v>1166</v>
      </c>
      <c r="D28" s="254"/>
      <c r="E28" s="254"/>
      <c r="K28" s="136"/>
      <c r="L28" s="136"/>
      <c r="M28" s="136"/>
    </row>
    <row r="29" spans="1:13" s="157" customFormat="1" ht="15" customHeight="1">
      <c r="A29" s="145"/>
      <c r="B29" s="245" t="s">
        <v>1122</v>
      </c>
      <c r="C29" s="246" t="s">
        <v>1123</v>
      </c>
      <c r="D29" s="254"/>
      <c r="E29" s="254"/>
      <c r="K29" s="136"/>
      <c r="L29" s="136"/>
      <c r="M29" s="136"/>
    </row>
    <row r="30" spans="1:13" s="157" customFormat="1" ht="15" customHeight="1">
      <c r="A30" s="145"/>
      <c r="B30" s="245" t="s">
        <v>1171</v>
      </c>
      <c r="C30" s="246" t="s">
        <v>1172</v>
      </c>
      <c r="D30" s="254"/>
      <c r="E30" s="254"/>
      <c r="K30" s="136"/>
      <c r="L30" s="136"/>
      <c r="M30" s="136"/>
    </row>
    <row r="31" spans="1:13" s="157" customFormat="1" ht="15" customHeight="1">
      <c r="A31" s="145"/>
      <c r="B31" s="245" t="s">
        <v>1173</v>
      </c>
      <c r="C31" s="246" t="s">
        <v>1174</v>
      </c>
      <c r="D31" s="254"/>
      <c r="E31" s="254"/>
      <c r="K31" s="136"/>
      <c r="L31" s="136"/>
      <c r="M31" s="136"/>
    </row>
    <row r="32" spans="1:13" s="157" customFormat="1" ht="15" customHeight="1">
      <c r="A32" s="145"/>
      <c r="B32" s="245" t="s">
        <v>1128</v>
      </c>
      <c r="C32" s="246" t="s">
        <v>1129</v>
      </c>
      <c r="D32" s="254"/>
      <c r="E32" s="254"/>
      <c r="K32" s="136"/>
      <c r="L32" s="136"/>
      <c r="M32" s="136"/>
    </row>
    <row r="33" spans="1:13" s="157" customFormat="1" ht="15" customHeight="1">
      <c r="A33" s="145"/>
      <c r="B33" s="245" t="s">
        <v>1132</v>
      </c>
      <c r="C33" s="246" t="s">
        <v>1133</v>
      </c>
      <c r="D33" s="254"/>
      <c r="E33" s="254"/>
      <c r="K33" s="136"/>
      <c r="L33" s="136"/>
      <c r="M33" s="136"/>
    </row>
    <row r="34" spans="1:13" s="157" customFormat="1" ht="15" customHeight="1">
      <c r="A34" s="145"/>
      <c r="B34" s="245" t="s">
        <v>1140</v>
      </c>
      <c r="C34" s="246" t="s">
        <v>1141</v>
      </c>
      <c r="D34" s="254"/>
      <c r="E34" s="254"/>
      <c r="K34" s="136"/>
      <c r="L34" s="136"/>
      <c r="M34" s="136"/>
    </row>
    <row r="35" spans="1:13" s="157" customFormat="1" ht="15" customHeight="1">
      <c r="A35" s="145"/>
      <c r="B35" s="245" t="s">
        <v>1175</v>
      </c>
      <c r="C35" s="246" t="s">
        <v>1176</v>
      </c>
      <c r="D35" s="254"/>
      <c r="E35" s="254"/>
      <c r="K35" s="136"/>
      <c r="L35" s="136"/>
      <c r="M35" s="136"/>
    </row>
    <row r="36" spans="1:13" s="157" customFormat="1" ht="15" customHeight="1">
      <c r="A36" s="145"/>
      <c r="B36" s="245" t="s">
        <v>1177</v>
      </c>
      <c r="C36" s="246" t="s">
        <v>1178</v>
      </c>
      <c r="D36" s="254"/>
      <c r="E36" s="254"/>
      <c r="K36" s="136"/>
      <c r="L36" s="136"/>
      <c r="M36" s="136"/>
    </row>
    <row r="37" spans="1:13" s="157" customFormat="1" ht="15" customHeight="1">
      <c r="A37" s="145"/>
      <c r="B37" s="245" t="s">
        <v>1179</v>
      </c>
      <c r="C37" s="246" t="s">
        <v>1180</v>
      </c>
      <c r="D37" s="254"/>
      <c r="E37" s="254"/>
      <c r="K37" s="136"/>
      <c r="L37" s="136"/>
      <c r="M37" s="136"/>
    </row>
    <row r="38" spans="1:13" s="157" customFormat="1" ht="15" customHeight="1">
      <c r="A38" s="145"/>
      <c r="B38" s="245" t="s">
        <v>1181</v>
      </c>
      <c r="C38" s="246" t="s">
        <v>1182</v>
      </c>
      <c r="D38" s="254"/>
      <c r="E38" s="254"/>
      <c r="K38" s="136"/>
      <c r="L38" s="136"/>
      <c r="M38" s="136"/>
    </row>
    <row r="39" spans="1:13" s="157" customFormat="1" ht="15" customHeight="1">
      <c r="A39" s="145"/>
      <c r="B39" s="245" t="s">
        <v>1159</v>
      </c>
      <c r="C39" s="246" t="s">
        <v>1160</v>
      </c>
      <c r="D39" s="254"/>
      <c r="E39" s="254"/>
      <c r="K39" s="136"/>
      <c r="L39" s="136"/>
      <c r="M39" s="136"/>
    </row>
    <row r="40" spans="1:13" s="157" customFormat="1" ht="15" customHeight="1">
      <c r="A40" s="145"/>
      <c r="B40" s="245" t="s">
        <v>1161</v>
      </c>
      <c r="C40" s="246" t="s">
        <v>1162</v>
      </c>
      <c r="D40" s="254"/>
      <c r="E40" s="254"/>
      <c r="K40" s="136"/>
      <c r="L40" s="136"/>
      <c r="M40" s="136"/>
    </row>
    <row r="41" spans="1:13" s="157" customFormat="1" ht="15" customHeight="1">
      <c r="A41" s="145"/>
      <c r="B41" s="245" t="s">
        <v>1167</v>
      </c>
      <c r="C41" s="246" t="s">
        <v>1168</v>
      </c>
      <c r="D41" s="254"/>
      <c r="E41" s="254"/>
      <c r="K41" s="136"/>
      <c r="L41" s="136"/>
      <c r="M41" s="136"/>
    </row>
    <row r="42" spans="1:13" s="157" customFormat="1" ht="15" customHeight="1">
      <c r="A42" s="145"/>
      <c r="B42" s="245" t="s">
        <v>1169</v>
      </c>
      <c r="C42" s="246" t="s">
        <v>1170</v>
      </c>
      <c r="D42" s="155"/>
      <c r="E42" s="155"/>
      <c r="K42" s="136"/>
      <c r="L42" s="136"/>
      <c r="M42" s="136"/>
    </row>
    <row r="43" spans="1:13" s="157" customFormat="1" ht="15" customHeight="1">
      <c r="A43" s="145"/>
      <c r="B43" s="245" t="s">
        <v>1183</v>
      </c>
      <c r="C43" s="246" t="s">
        <v>1184</v>
      </c>
      <c r="D43" s="155"/>
      <c r="E43" s="155"/>
      <c r="K43" s="136"/>
      <c r="L43" s="136"/>
      <c r="M43" s="136"/>
    </row>
    <row r="44" spans="1:13" s="157" customFormat="1" ht="15" customHeight="1">
      <c r="A44" s="145"/>
      <c r="B44" s="245" t="s">
        <v>1185</v>
      </c>
      <c r="C44" s="246" t="s">
        <v>1186</v>
      </c>
      <c r="D44" s="155"/>
      <c r="E44" s="155"/>
      <c r="K44" s="136"/>
      <c r="L44" s="136"/>
      <c r="M44" s="136"/>
    </row>
    <row r="45" spans="1:13" s="157" customFormat="1" ht="15" customHeight="1">
      <c r="A45" s="145"/>
      <c r="B45" s="237" t="s">
        <v>1032</v>
      </c>
      <c r="C45" s="238" t="s">
        <v>1033</v>
      </c>
      <c r="D45" s="155"/>
      <c r="E45" s="155"/>
      <c r="K45" s="136"/>
      <c r="L45" s="136"/>
      <c r="M45" s="136"/>
    </row>
    <row r="46" spans="1:13" s="157" customFormat="1" ht="15" customHeight="1">
      <c r="A46" s="145"/>
      <c r="B46" s="237" t="s">
        <v>1034</v>
      </c>
      <c r="C46" s="238" t="s">
        <v>1035</v>
      </c>
      <c r="D46" s="155"/>
      <c r="E46" s="155"/>
      <c r="K46" s="136"/>
      <c r="L46" s="136"/>
      <c r="M46" s="136"/>
    </row>
    <row r="47" spans="1:13" s="157" customFormat="1" ht="15" customHeight="1">
      <c r="A47" s="145"/>
      <c r="B47" s="237" t="s">
        <v>1036</v>
      </c>
      <c r="C47" s="238" t="s">
        <v>1037</v>
      </c>
      <c r="D47" s="155"/>
      <c r="E47" s="155"/>
      <c r="K47" s="136"/>
      <c r="L47" s="136"/>
      <c r="M47" s="136"/>
    </row>
    <row r="48" spans="1:13" s="157" customFormat="1" ht="15" customHeight="1">
      <c r="A48" s="145"/>
      <c r="B48" s="237" t="s">
        <v>1038</v>
      </c>
      <c r="C48" s="238" t="s">
        <v>1039</v>
      </c>
      <c r="D48" s="155"/>
      <c r="E48" s="155"/>
      <c r="K48" s="136"/>
      <c r="L48" s="136"/>
      <c r="M48" s="136"/>
    </row>
    <row r="49" spans="1:13" s="157" customFormat="1" ht="15" customHeight="1">
      <c r="A49" s="145"/>
      <c r="B49" s="237" t="s">
        <v>1040</v>
      </c>
      <c r="C49" s="238" t="s">
        <v>1041</v>
      </c>
      <c r="D49" s="155"/>
      <c r="E49" s="155"/>
      <c r="K49" s="136"/>
      <c r="L49" s="136"/>
      <c r="M49" s="136"/>
    </row>
    <row r="50" spans="1:13" s="157" customFormat="1" ht="15" customHeight="1">
      <c r="A50" s="145"/>
      <c r="B50" s="237" t="s">
        <v>1042</v>
      </c>
      <c r="C50" s="238" t="s">
        <v>1043</v>
      </c>
      <c r="D50" s="155"/>
      <c r="E50" s="155"/>
      <c r="K50" s="136"/>
      <c r="L50" s="136"/>
      <c r="M50" s="136"/>
    </row>
    <row r="51" spans="1:13" s="157" customFormat="1" ht="15" customHeight="1">
      <c r="A51" s="145"/>
      <c r="B51" s="237" t="s">
        <v>1044</v>
      </c>
      <c r="C51" s="238" t="s">
        <v>1045</v>
      </c>
      <c r="D51" s="155"/>
      <c r="E51" s="155"/>
      <c r="K51" s="136"/>
      <c r="L51" s="136"/>
      <c r="M51" s="136"/>
    </row>
    <row r="52" spans="1:13" s="157" customFormat="1" ht="15" customHeight="1">
      <c r="A52" s="145"/>
      <c r="B52" s="237" t="s">
        <v>1046</v>
      </c>
      <c r="C52" s="238" t="s">
        <v>1047</v>
      </c>
      <c r="D52" s="155"/>
      <c r="E52" s="155"/>
      <c r="K52" s="136"/>
      <c r="L52" s="136"/>
      <c r="M52" s="136"/>
    </row>
    <row r="53" spans="1:13" s="157" customFormat="1" ht="15" customHeight="1">
      <c r="A53" s="145"/>
      <c r="B53" s="237" t="s">
        <v>1048</v>
      </c>
      <c r="C53" s="238" t="s">
        <v>1049</v>
      </c>
      <c r="D53" s="155"/>
      <c r="E53" s="155"/>
      <c r="K53" s="136"/>
      <c r="L53" s="136"/>
      <c r="M53" s="136"/>
    </row>
    <row r="54" spans="1:13" s="157" customFormat="1" ht="15" customHeight="1">
      <c r="A54" s="145"/>
      <c r="B54" s="237" t="s">
        <v>1050</v>
      </c>
      <c r="C54" s="238" t="s">
        <v>1051</v>
      </c>
      <c r="D54" s="155"/>
      <c r="E54" s="155"/>
      <c r="K54" s="136"/>
      <c r="L54" s="136"/>
      <c r="M54" s="136"/>
    </row>
    <row r="55" spans="1:13" s="157" customFormat="1" ht="15" customHeight="1">
      <c r="A55" s="145"/>
      <c r="B55" s="237" t="s">
        <v>1052</v>
      </c>
      <c r="C55" s="238" t="s">
        <v>1053</v>
      </c>
      <c r="D55" s="155"/>
      <c r="E55" s="155"/>
      <c r="K55" s="136"/>
      <c r="L55" s="136"/>
      <c r="M55" s="136"/>
    </row>
    <row r="56" spans="1:13" s="157" customFormat="1" ht="15" customHeight="1">
      <c r="A56" s="145"/>
      <c r="B56" s="237" t="s">
        <v>1054</v>
      </c>
      <c r="C56" s="238" t="s">
        <v>1055</v>
      </c>
      <c r="D56" s="155"/>
      <c r="E56" s="155"/>
      <c r="K56" s="136"/>
      <c r="L56" s="136"/>
      <c r="M56" s="136"/>
    </row>
    <row r="57" spans="1:13" s="157" customFormat="1" ht="15" customHeight="1">
      <c r="A57" s="145"/>
      <c r="B57" s="237" t="s">
        <v>1056</v>
      </c>
      <c r="C57" s="238" t="s">
        <v>1057</v>
      </c>
      <c r="D57" s="155"/>
      <c r="E57" s="155"/>
      <c r="K57" s="136"/>
      <c r="L57" s="136"/>
      <c r="M57" s="136"/>
    </row>
    <row r="58" spans="1:13" s="157" customFormat="1" ht="16.2" thickBot="1">
      <c r="A58" s="145"/>
      <c r="B58" s="239" t="s">
        <v>1058</v>
      </c>
      <c r="C58" s="240" t="s">
        <v>1059</v>
      </c>
      <c r="D58" s="155"/>
      <c r="E58" s="155"/>
      <c r="K58" s="136"/>
      <c r="L58" s="136"/>
      <c r="M58" s="136"/>
    </row>
    <row r="59" spans="1:13" s="157" customFormat="1">
      <c r="A59" s="145"/>
      <c r="B59" s="155"/>
      <c r="C59" s="155"/>
      <c r="D59" s="155"/>
      <c r="E59" s="155"/>
      <c r="K59" s="136"/>
      <c r="L59" s="136"/>
      <c r="M59" s="136"/>
    </row>
    <row r="60" spans="1:13" s="157" customFormat="1">
      <c r="A60" s="145"/>
      <c r="B60" s="155"/>
      <c r="C60" s="155"/>
      <c r="D60" s="155"/>
      <c r="E60" s="155"/>
      <c r="K60" s="136"/>
      <c r="L60" s="136"/>
      <c r="M60" s="136"/>
    </row>
    <row r="61" spans="1:13" s="157" customFormat="1">
      <c r="A61" s="145"/>
      <c r="B61" s="155"/>
      <c r="C61" s="155"/>
      <c r="D61" s="155"/>
      <c r="E61" s="155"/>
      <c r="K61" s="136"/>
      <c r="L61" s="136"/>
      <c r="M61" s="136"/>
    </row>
    <row r="62" spans="1:13" s="157" customFormat="1">
      <c r="A62" s="145"/>
      <c r="B62" s="155"/>
      <c r="C62" s="155"/>
      <c r="D62" s="155"/>
      <c r="E62" s="155"/>
      <c r="K62" s="136"/>
      <c r="L62" s="136"/>
      <c r="M62" s="136"/>
    </row>
    <row r="63" spans="1:13" s="157" customFormat="1">
      <c r="A63" s="145"/>
      <c r="B63" s="155"/>
      <c r="C63" s="155"/>
      <c r="D63" s="155"/>
      <c r="E63" s="155"/>
      <c r="K63" s="136"/>
      <c r="L63" s="136"/>
      <c r="M63" s="136"/>
    </row>
    <row r="64" spans="1:13" s="157" customFormat="1">
      <c r="A64" s="145"/>
      <c r="B64" s="155"/>
      <c r="C64" s="155"/>
      <c r="D64" s="155"/>
      <c r="E64" s="155"/>
      <c r="K64" s="136"/>
      <c r="L64" s="136"/>
      <c r="M64" s="136"/>
    </row>
    <row r="65" spans="1:13" s="157" customFormat="1">
      <c r="A65" s="145"/>
      <c r="B65" s="155"/>
      <c r="C65" s="155"/>
      <c r="D65" s="155"/>
      <c r="E65" s="155"/>
      <c r="K65" s="136"/>
      <c r="L65" s="136"/>
      <c r="M65" s="136"/>
    </row>
    <row r="66" spans="1:13" s="157" customFormat="1">
      <c r="A66" s="145"/>
      <c r="B66" s="155"/>
      <c r="C66" s="155"/>
      <c r="D66" s="155"/>
      <c r="E66" s="155"/>
      <c r="K66" s="136"/>
      <c r="L66" s="136"/>
      <c r="M66" s="136"/>
    </row>
    <row r="67" spans="1:13" s="157" customFormat="1">
      <c r="A67" s="145"/>
      <c r="B67" s="155"/>
      <c r="C67" s="155"/>
      <c r="D67" s="155"/>
      <c r="E67" s="155"/>
      <c r="K67" s="136"/>
      <c r="L67" s="136"/>
      <c r="M67" s="136"/>
    </row>
    <row r="68" spans="1:13" s="157" customFormat="1">
      <c r="A68" s="145"/>
      <c r="B68" s="155"/>
      <c r="C68" s="155"/>
      <c r="D68" s="155"/>
      <c r="E68" s="155"/>
      <c r="K68" s="136"/>
      <c r="L68" s="136"/>
      <c r="M68" s="136"/>
    </row>
    <row r="69" spans="1:13" s="157" customFormat="1">
      <c r="A69" s="145"/>
      <c r="B69" s="155"/>
      <c r="C69" s="155"/>
      <c r="D69" s="155"/>
      <c r="E69" s="155"/>
      <c r="K69" s="136"/>
      <c r="L69" s="136"/>
      <c r="M69" s="136"/>
    </row>
    <row r="70" spans="1:13" s="157" customFormat="1">
      <c r="A70" s="145"/>
      <c r="B70" s="155"/>
      <c r="C70" s="155"/>
      <c r="D70" s="155"/>
      <c r="E70" s="155"/>
      <c r="K70" s="136"/>
      <c r="L70" s="136"/>
      <c r="M70" s="136"/>
    </row>
    <row r="71" spans="1:13" s="157" customFormat="1">
      <c r="A71" s="145"/>
      <c r="B71" s="155"/>
      <c r="C71" s="155"/>
      <c r="D71" s="155"/>
      <c r="E71" s="155"/>
      <c r="K71" s="136"/>
      <c r="L71" s="136"/>
      <c r="M71" s="136"/>
    </row>
    <row r="72" spans="1:13" s="157" customFormat="1">
      <c r="A72" s="145"/>
      <c r="B72" s="155"/>
      <c r="C72" s="155"/>
      <c r="D72" s="155"/>
      <c r="E72" s="155"/>
      <c r="K72" s="136"/>
      <c r="L72" s="136"/>
      <c r="M72" s="136"/>
    </row>
    <row r="73" spans="1:13" s="157" customFormat="1">
      <c r="A73" s="145"/>
      <c r="B73" s="155"/>
      <c r="C73" s="155"/>
      <c r="D73" s="155"/>
      <c r="E73" s="155"/>
      <c r="K73" s="136"/>
      <c r="L73" s="136"/>
      <c r="M73" s="136"/>
    </row>
    <row r="74" spans="1:13" s="157" customFormat="1">
      <c r="A74" s="145"/>
      <c r="B74" s="155"/>
      <c r="C74" s="155"/>
      <c r="D74" s="155"/>
      <c r="E74" s="155"/>
      <c r="K74" s="136"/>
      <c r="L74" s="136"/>
      <c r="M74" s="136"/>
    </row>
    <row r="75" spans="1:13" s="157" customFormat="1">
      <c r="A75" s="145"/>
      <c r="B75" s="155"/>
      <c r="C75" s="155"/>
      <c r="D75" s="155"/>
      <c r="E75" s="155"/>
      <c r="K75" s="136"/>
      <c r="L75" s="136"/>
      <c r="M75" s="136"/>
    </row>
    <row r="76" spans="1:13" s="157" customFormat="1">
      <c r="A76" s="145"/>
      <c r="B76" s="155"/>
      <c r="C76" s="155"/>
      <c r="D76" s="155"/>
      <c r="E76" s="155"/>
      <c r="K76" s="136"/>
      <c r="L76" s="136"/>
      <c r="M76" s="136"/>
    </row>
    <row r="77" spans="1:13" s="157" customFormat="1">
      <c r="A77" s="145"/>
      <c r="B77" s="155"/>
      <c r="C77" s="155"/>
      <c r="D77" s="155"/>
      <c r="E77" s="155"/>
      <c r="K77" s="136"/>
      <c r="L77" s="136"/>
      <c r="M77" s="136"/>
    </row>
    <row r="78" spans="1:13" s="157" customFormat="1">
      <c r="A78" s="145"/>
      <c r="B78" s="155"/>
      <c r="C78" s="155"/>
      <c r="D78" s="155"/>
      <c r="E78" s="155"/>
      <c r="K78" s="136"/>
      <c r="L78" s="136"/>
      <c r="M78" s="136"/>
    </row>
    <row r="79" spans="1:13" s="157" customFormat="1">
      <c r="A79" s="145"/>
      <c r="B79" s="155"/>
      <c r="C79" s="155"/>
      <c r="D79" s="155"/>
      <c r="E79" s="155"/>
      <c r="K79" s="136"/>
      <c r="L79" s="136"/>
      <c r="M79" s="136"/>
    </row>
    <row r="80" spans="1:13" s="157" customFormat="1">
      <c r="A80" s="145"/>
      <c r="B80" s="155"/>
      <c r="C80" s="155"/>
      <c r="D80" s="155"/>
      <c r="E80" s="155"/>
      <c r="K80" s="136"/>
      <c r="L80" s="136"/>
      <c r="M80" s="136"/>
    </row>
    <row r="81" spans="1:13" s="157" customFormat="1">
      <c r="A81" s="145"/>
      <c r="B81" s="155"/>
      <c r="C81" s="155"/>
      <c r="D81" s="155"/>
      <c r="E81" s="155"/>
      <c r="K81" s="136"/>
      <c r="L81" s="136"/>
      <c r="M81" s="136"/>
    </row>
    <row r="82" spans="1:13" s="157" customFormat="1">
      <c r="A82" s="145"/>
      <c r="B82" s="155"/>
      <c r="C82" s="155"/>
      <c r="D82" s="155"/>
      <c r="E82" s="155"/>
      <c r="K82" s="136"/>
      <c r="L82" s="136"/>
      <c r="M82" s="136"/>
    </row>
    <row r="83" spans="1:13" s="157" customFormat="1">
      <c r="A83" s="145"/>
      <c r="B83" s="155"/>
      <c r="C83" s="155"/>
      <c r="D83" s="155"/>
      <c r="E83" s="155"/>
      <c r="K83" s="136"/>
      <c r="L83" s="136"/>
      <c r="M83" s="136"/>
    </row>
    <row r="84" spans="1:13" s="157" customFormat="1">
      <c r="A84" s="145"/>
      <c r="B84" s="155"/>
      <c r="C84" s="155"/>
      <c r="D84" s="155"/>
      <c r="E84" s="155"/>
      <c r="K84" s="136"/>
      <c r="L84" s="136"/>
      <c r="M84" s="136"/>
    </row>
    <row r="85" spans="1:13" s="157" customFormat="1">
      <c r="A85" s="145"/>
      <c r="B85" s="155"/>
      <c r="C85" s="155"/>
      <c r="D85" s="155"/>
      <c r="E85" s="155"/>
      <c r="K85" s="136"/>
      <c r="L85" s="136"/>
      <c r="M85" s="136"/>
    </row>
    <row r="86" spans="1:13" s="157" customFormat="1">
      <c r="A86" s="145"/>
      <c r="B86" s="155"/>
      <c r="C86" s="155"/>
      <c r="D86" s="155"/>
      <c r="E86" s="155"/>
      <c r="K86" s="136"/>
      <c r="L86" s="136"/>
      <c r="M86" s="136"/>
    </row>
    <row r="87" spans="1:13" s="157" customFormat="1">
      <c r="A87" s="145"/>
      <c r="B87" s="155"/>
      <c r="C87" s="155"/>
      <c r="D87" s="155"/>
      <c r="E87" s="155"/>
      <c r="K87" s="136"/>
      <c r="L87" s="136"/>
      <c r="M87" s="136"/>
    </row>
    <row r="88" spans="1:13" s="157" customFormat="1">
      <c r="A88" s="145"/>
      <c r="B88" s="155"/>
      <c r="C88" s="155"/>
      <c r="D88" s="155"/>
      <c r="E88" s="155"/>
      <c r="K88" s="136"/>
      <c r="L88" s="136"/>
      <c r="M88" s="136"/>
    </row>
    <row r="89" spans="1:13" s="157" customFormat="1">
      <c r="A89" s="145"/>
      <c r="B89" s="155"/>
      <c r="C89" s="155"/>
      <c r="D89" s="155"/>
      <c r="E89" s="155"/>
      <c r="K89" s="136"/>
      <c r="L89" s="136"/>
      <c r="M89" s="136"/>
    </row>
    <row r="90" spans="1:13" s="157" customFormat="1">
      <c r="A90" s="145"/>
      <c r="B90" s="155"/>
      <c r="C90" s="155"/>
      <c r="D90" s="155"/>
      <c r="E90" s="155"/>
      <c r="K90" s="136"/>
      <c r="L90" s="136"/>
      <c r="M90" s="136"/>
    </row>
    <row r="91" spans="1:13" s="157" customFormat="1">
      <c r="A91" s="145"/>
      <c r="B91" s="155"/>
      <c r="C91" s="155"/>
      <c r="D91" s="155"/>
      <c r="E91" s="155"/>
      <c r="K91" s="136"/>
      <c r="L91" s="136"/>
      <c r="M91" s="136"/>
    </row>
    <row r="92" spans="1:13" s="157" customFormat="1">
      <c r="A92" s="145"/>
      <c r="B92" s="155"/>
      <c r="C92" s="155"/>
      <c r="D92" s="155"/>
      <c r="E92" s="155"/>
      <c r="K92" s="136"/>
      <c r="L92" s="136"/>
      <c r="M92" s="136"/>
    </row>
    <row r="93" spans="1:13" s="157" customFormat="1">
      <c r="A93" s="145"/>
      <c r="B93" s="155"/>
      <c r="C93" s="155"/>
      <c r="D93" s="155"/>
      <c r="E93" s="155"/>
      <c r="K93" s="136"/>
      <c r="L93" s="136"/>
      <c r="M93" s="136"/>
    </row>
    <row r="94" spans="1:13" s="157" customFormat="1">
      <c r="A94" s="145"/>
      <c r="B94" s="155"/>
      <c r="C94" s="155"/>
      <c r="D94" s="155"/>
      <c r="E94" s="155"/>
      <c r="K94" s="136"/>
      <c r="L94" s="136"/>
      <c r="M94" s="136"/>
    </row>
    <row r="95" spans="1:13" s="157" customFormat="1">
      <c r="A95" s="145"/>
      <c r="B95" s="155"/>
      <c r="C95" s="155"/>
      <c r="D95" s="155"/>
      <c r="E95" s="155"/>
      <c r="K95" s="136"/>
      <c r="L95" s="136"/>
      <c r="M95" s="136"/>
    </row>
    <row r="96" spans="1:13" s="157" customFormat="1">
      <c r="A96" s="145"/>
      <c r="B96" s="155"/>
      <c r="C96" s="155"/>
      <c r="D96" s="155"/>
      <c r="E96" s="155"/>
      <c r="K96" s="136"/>
      <c r="L96" s="136"/>
      <c r="M96" s="136"/>
    </row>
    <row r="97" spans="1:13" s="157" customFormat="1">
      <c r="A97" s="145"/>
      <c r="B97" s="155"/>
      <c r="C97" s="155"/>
      <c r="D97" s="155"/>
      <c r="E97" s="155"/>
      <c r="K97" s="136"/>
      <c r="L97" s="136"/>
      <c r="M97" s="136"/>
    </row>
    <row r="98" spans="1:13" s="157" customFormat="1">
      <c r="A98" s="145"/>
      <c r="B98" s="155"/>
      <c r="C98" s="155"/>
      <c r="D98" s="155"/>
      <c r="E98" s="155"/>
      <c r="K98" s="136"/>
      <c r="L98" s="136"/>
      <c r="M98" s="136"/>
    </row>
    <row r="99" spans="1:13" s="157" customFormat="1">
      <c r="A99" s="145"/>
      <c r="B99" s="155"/>
      <c r="C99" s="155"/>
      <c r="D99" s="155"/>
      <c r="E99" s="155"/>
      <c r="K99" s="136"/>
      <c r="L99" s="136"/>
      <c r="M99" s="136"/>
    </row>
    <row r="100" spans="1:13" s="157" customFormat="1">
      <c r="A100" s="145"/>
      <c r="B100" s="155"/>
      <c r="C100" s="155"/>
      <c r="D100" s="155"/>
      <c r="E100" s="155"/>
      <c r="K100" s="136"/>
      <c r="L100" s="136"/>
      <c r="M100" s="136"/>
    </row>
    <row r="101" spans="1:13" s="157" customFormat="1">
      <c r="A101" s="145"/>
      <c r="B101" s="155"/>
      <c r="C101" s="155"/>
      <c r="D101" s="155"/>
      <c r="E101" s="155"/>
      <c r="K101" s="136"/>
      <c r="L101" s="136"/>
      <c r="M101" s="136"/>
    </row>
    <row r="102" spans="1:13" s="157" customFormat="1">
      <c r="A102" s="145"/>
      <c r="B102" s="155"/>
      <c r="C102" s="155"/>
      <c r="D102" s="155"/>
      <c r="E102" s="155"/>
      <c r="K102" s="136"/>
      <c r="L102" s="136"/>
      <c r="M102" s="136"/>
    </row>
    <row r="103" spans="1:13" s="157" customFormat="1">
      <c r="A103" s="145"/>
      <c r="B103" s="155"/>
      <c r="C103" s="155"/>
      <c r="D103" s="155"/>
      <c r="E103" s="155"/>
      <c r="K103" s="136"/>
      <c r="L103" s="136"/>
      <c r="M103" s="136"/>
    </row>
    <row r="104" spans="1:13">
      <c r="A104" s="145"/>
    </row>
    <row r="105" spans="1:13">
      <c r="A105" s="145"/>
    </row>
    <row r="106" spans="1:13" s="155" customFormat="1">
      <c r="A106" s="145"/>
      <c r="F106" s="136"/>
      <c r="K106" s="136"/>
      <c r="L106" s="136"/>
      <c r="M106" s="136"/>
    </row>
    <row r="107" spans="1:13" s="155" customFormat="1">
      <c r="A107" s="145"/>
      <c r="F107" s="136"/>
      <c r="K107" s="136"/>
      <c r="L107" s="136"/>
      <c r="M107" s="136"/>
    </row>
    <row r="108" spans="1:13" s="155" customFormat="1">
      <c r="A108" s="145"/>
      <c r="F108" s="136"/>
      <c r="K108" s="136"/>
      <c r="L108" s="136"/>
      <c r="M108" s="136"/>
    </row>
    <row r="109" spans="1:13" s="155" customFormat="1">
      <c r="A109" s="145"/>
      <c r="F109" s="136"/>
      <c r="K109" s="136"/>
      <c r="L109" s="136"/>
      <c r="M109" s="136"/>
    </row>
    <row r="110" spans="1:13" s="155" customFormat="1">
      <c r="A110" s="145"/>
      <c r="F110" s="136"/>
      <c r="K110" s="136"/>
      <c r="L110" s="136"/>
      <c r="M110" s="136"/>
    </row>
    <row r="111" spans="1:13" s="155" customFormat="1">
      <c r="A111" s="145"/>
      <c r="F111" s="136"/>
      <c r="K111" s="136"/>
      <c r="L111" s="136"/>
      <c r="M111" s="136"/>
    </row>
    <row r="112" spans="1:13" s="155" customFormat="1">
      <c r="A112" s="145"/>
      <c r="F112" s="136"/>
      <c r="K112" s="136"/>
      <c r="L112" s="136"/>
      <c r="M112" s="136"/>
    </row>
    <row r="113" spans="1:13" s="155" customFormat="1">
      <c r="A113" s="145"/>
      <c r="F113" s="136"/>
      <c r="K113" s="136"/>
      <c r="L113" s="136"/>
      <c r="M113" s="136"/>
    </row>
    <row r="114" spans="1:13" s="155" customFormat="1">
      <c r="A114" s="145"/>
      <c r="F114" s="136"/>
      <c r="K114" s="136"/>
      <c r="L114" s="136"/>
      <c r="M114" s="136"/>
    </row>
    <row r="115" spans="1:13" s="155" customFormat="1">
      <c r="A115" s="145"/>
      <c r="F115" s="136"/>
      <c r="K115" s="136"/>
      <c r="L115" s="136"/>
      <c r="M115" s="136"/>
    </row>
    <row r="116" spans="1:13" s="155" customFormat="1">
      <c r="A116" s="145"/>
      <c r="F116" s="136"/>
      <c r="K116" s="136"/>
      <c r="L116" s="136"/>
      <c r="M116" s="136"/>
    </row>
    <row r="117" spans="1:13" s="155" customFormat="1">
      <c r="A117" s="145"/>
      <c r="F117" s="136"/>
      <c r="K117" s="136"/>
      <c r="L117" s="136"/>
      <c r="M117" s="136"/>
    </row>
    <row r="118" spans="1:13" s="155" customFormat="1">
      <c r="A118" s="145"/>
      <c r="F118" s="136"/>
      <c r="K118" s="136"/>
      <c r="L118" s="136"/>
      <c r="M118" s="136"/>
    </row>
    <row r="119" spans="1:13" s="155" customFormat="1">
      <c r="A119" s="145"/>
      <c r="F119" s="136"/>
      <c r="K119" s="136"/>
      <c r="L119" s="136"/>
      <c r="M119" s="136"/>
    </row>
    <row r="120" spans="1:13" s="155" customFormat="1">
      <c r="A120" s="145"/>
      <c r="F120" s="136"/>
      <c r="K120" s="136"/>
      <c r="L120" s="136"/>
      <c r="M120" s="136"/>
    </row>
    <row r="121" spans="1:13" s="155" customFormat="1">
      <c r="A121" s="145"/>
      <c r="F121" s="136"/>
      <c r="K121" s="136"/>
      <c r="L121" s="136"/>
      <c r="M121" s="136"/>
    </row>
    <row r="122" spans="1:13" s="155" customFormat="1">
      <c r="A122" s="145"/>
      <c r="F122" s="136"/>
      <c r="K122" s="136"/>
      <c r="L122" s="136"/>
      <c r="M122" s="136"/>
    </row>
    <row r="123" spans="1:13" s="155" customFormat="1">
      <c r="A123" s="145"/>
      <c r="F123" s="136"/>
      <c r="K123" s="136"/>
      <c r="L123" s="136"/>
      <c r="M123" s="136"/>
    </row>
    <row r="124" spans="1:13" s="155" customFormat="1">
      <c r="A124" s="145"/>
      <c r="F124" s="136"/>
      <c r="K124" s="136"/>
      <c r="L124" s="136"/>
      <c r="M124" s="136"/>
    </row>
    <row r="125" spans="1:13" s="155" customFormat="1">
      <c r="A125" s="145"/>
      <c r="F125" s="136"/>
      <c r="K125" s="136"/>
      <c r="L125" s="136"/>
      <c r="M125" s="136"/>
    </row>
    <row r="126" spans="1:13" s="155" customFormat="1">
      <c r="A126" s="145"/>
      <c r="F126" s="136"/>
      <c r="K126" s="136"/>
      <c r="L126" s="136"/>
      <c r="M126" s="136"/>
    </row>
    <row r="127" spans="1:13" s="155" customFormat="1">
      <c r="A127" s="145"/>
      <c r="F127" s="136"/>
      <c r="K127" s="136"/>
      <c r="L127" s="136"/>
      <c r="M127" s="136"/>
    </row>
    <row r="128" spans="1:13" s="155" customFormat="1">
      <c r="A128" s="145"/>
      <c r="F128" s="136"/>
      <c r="K128" s="136"/>
      <c r="L128" s="136"/>
      <c r="M128" s="136"/>
    </row>
    <row r="129" spans="1:13" s="155" customFormat="1">
      <c r="A129" s="145"/>
      <c r="F129" s="136"/>
      <c r="K129" s="136"/>
      <c r="L129" s="136"/>
      <c r="M129" s="136"/>
    </row>
    <row r="130" spans="1:13" s="155" customFormat="1">
      <c r="A130" s="145"/>
      <c r="F130" s="136"/>
      <c r="K130" s="136"/>
      <c r="L130" s="136"/>
      <c r="M130" s="136"/>
    </row>
    <row r="131" spans="1:13" s="155" customFormat="1">
      <c r="A131" s="145"/>
      <c r="F131" s="136"/>
      <c r="K131" s="136"/>
      <c r="L131" s="136"/>
      <c r="M131" s="136"/>
    </row>
    <row r="132" spans="1:13" s="155" customFormat="1">
      <c r="A132" s="145"/>
      <c r="F132" s="136"/>
      <c r="K132" s="136"/>
      <c r="L132" s="136"/>
      <c r="M132" s="136"/>
    </row>
    <row r="133" spans="1:13" s="155" customFormat="1">
      <c r="A133" s="145"/>
      <c r="F133" s="136"/>
      <c r="K133" s="136"/>
      <c r="L133" s="136"/>
      <c r="M133" s="136"/>
    </row>
    <row r="134" spans="1:13" s="155" customFormat="1">
      <c r="A134" s="145"/>
      <c r="F134" s="136"/>
      <c r="K134" s="136"/>
      <c r="L134" s="136"/>
      <c r="M134" s="136"/>
    </row>
    <row r="135" spans="1:13" s="155" customFormat="1">
      <c r="A135" s="145"/>
      <c r="F135" s="136"/>
      <c r="K135" s="136"/>
      <c r="L135" s="136"/>
      <c r="M135" s="136"/>
    </row>
    <row r="136" spans="1:13" s="155" customFormat="1">
      <c r="A136" s="145"/>
      <c r="F136" s="136"/>
      <c r="K136" s="136"/>
      <c r="L136" s="136"/>
      <c r="M136" s="136"/>
    </row>
    <row r="137" spans="1:13" s="155" customFormat="1">
      <c r="A137" s="145"/>
      <c r="F137" s="136"/>
      <c r="K137" s="136"/>
      <c r="L137" s="136"/>
      <c r="M137" s="136"/>
    </row>
    <row r="138" spans="1:13" s="155" customFormat="1">
      <c r="A138" s="145"/>
      <c r="F138" s="136"/>
      <c r="K138" s="136"/>
      <c r="L138" s="136"/>
      <c r="M138" s="136"/>
    </row>
    <row r="139" spans="1:13" s="155" customFormat="1">
      <c r="A139" s="145"/>
      <c r="F139" s="136"/>
      <c r="K139" s="136"/>
      <c r="L139" s="136"/>
      <c r="M139" s="136"/>
    </row>
    <row r="140" spans="1:13" s="155" customFormat="1">
      <c r="A140" s="145"/>
      <c r="F140" s="136"/>
      <c r="K140" s="136"/>
      <c r="L140" s="136"/>
      <c r="M140" s="136"/>
    </row>
    <row r="141" spans="1:13" s="155" customFormat="1">
      <c r="A141" s="145"/>
      <c r="F141" s="136"/>
      <c r="K141" s="136"/>
      <c r="L141" s="136"/>
      <c r="M141" s="136"/>
    </row>
    <row r="142" spans="1:13" s="155" customFormat="1">
      <c r="A142" s="145"/>
      <c r="F142" s="136"/>
      <c r="K142" s="136"/>
      <c r="L142" s="136"/>
      <c r="M142" s="136"/>
    </row>
    <row r="143" spans="1:13" s="155" customFormat="1">
      <c r="A143" s="145"/>
      <c r="F143" s="136"/>
      <c r="K143" s="136"/>
      <c r="L143" s="136"/>
      <c r="M143" s="136"/>
    </row>
    <row r="144" spans="1:13" s="155" customFormat="1">
      <c r="A144" s="145"/>
      <c r="F144" s="136"/>
      <c r="K144" s="136"/>
      <c r="L144" s="136"/>
      <c r="M144" s="136"/>
    </row>
    <row r="145" spans="1:13" s="155" customFormat="1">
      <c r="A145" s="145"/>
      <c r="F145" s="136"/>
      <c r="K145" s="136"/>
      <c r="L145" s="136"/>
      <c r="M145" s="136"/>
    </row>
    <row r="146" spans="1:13" s="155" customFormat="1">
      <c r="A146" s="145"/>
      <c r="F146" s="136"/>
      <c r="K146" s="136"/>
      <c r="L146" s="136"/>
      <c r="M146" s="136"/>
    </row>
    <row r="147" spans="1:13" s="155" customFormat="1">
      <c r="A147" s="145"/>
      <c r="F147" s="136"/>
    </row>
    <row r="148" spans="1:13" s="155" customFormat="1">
      <c r="A148" s="145"/>
      <c r="F148" s="136"/>
    </row>
    <row r="149" spans="1:13" s="155" customFormat="1">
      <c r="A149" s="145"/>
      <c r="F149" s="136"/>
    </row>
    <row r="150" spans="1:13" s="155" customFormat="1">
      <c r="A150" s="145"/>
      <c r="F150" s="136"/>
    </row>
    <row r="151" spans="1:13" s="155" customFormat="1">
      <c r="A151" s="145"/>
      <c r="F151" s="136"/>
    </row>
    <row r="152" spans="1:13" s="155" customFormat="1">
      <c r="A152" s="145"/>
      <c r="F152" s="136"/>
    </row>
    <row r="153" spans="1:13" s="155" customFormat="1">
      <c r="A153" s="145"/>
      <c r="F153" s="136"/>
    </row>
    <row r="154" spans="1:13" s="155" customFormat="1">
      <c r="A154" s="145"/>
      <c r="F154" s="136"/>
    </row>
    <row r="155" spans="1:13" s="155" customFormat="1">
      <c r="A155" s="145"/>
      <c r="F155" s="136"/>
    </row>
    <row r="156" spans="1:13" s="155" customFormat="1">
      <c r="A156" s="145"/>
      <c r="F156" s="136"/>
    </row>
    <row r="157" spans="1:13" s="155" customFormat="1">
      <c r="A157" s="145"/>
      <c r="F157" s="136"/>
    </row>
    <row r="158" spans="1:13" s="155" customFormat="1">
      <c r="A158" s="145"/>
      <c r="F158" s="136"/>
    </row>
  </sheetData>
  <mergeCells count="1">
    <mergeCell ref="B3:C3"/>
  </mergeCells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359"/>
  <sheetViews>
    <sheetView workbookViewId="0">
      <selection activeCell="C148" sqref="C148"/>
    </sheetView>
  </sheetViews>
  <sheetFormatPr defaultColWidth="8.69921875" defaultRowHeight="17.399999999999999"/>
  <cols>
    <col min="1" max="1" width="8.796875" style="91" customWidth="1"/>
    <col min="2" max="2" width="10.296875" style="1" customWidth="1"/>
    <col min="3" max="3" width="21.5" style="1" customWidth="1"/>
    <col min="4" max="4" width="42.19921875" style="1" customWidth="1"/>
    <col min="5" max="5" width="15.19921875" style="1" customWidth="1"/>
    <col min="6" max="6" width="10.5" style="91" bestFit="1" customWidth="1"/>
    <col min="7" max="13" width="8.69921875" style="91"/>
    <col min="14" max="16384" width="8.69921875" style="1"/>
  </cols>
  <sheetData>
    <row r="1" spans="1:5" s="91" customFormat="1" ht="28.2" customHeight="1" thickBot="1">
      <c r="B1" s="88" t="s">
        <v>1382</v>
      </c>
      <c r="C1" s="89"/>
      <c r="D1" s="90"/>
      <c r="E1" s="90">
        <v>3</v>
      </c>
    </row>
    <row r="2" spans="1:5" ht="28.05" customHeight="1">
      <c r="B2" s="225" t="s">
        <v>484</v>
      </c>
      <c r="C2" s="226" t="s">
        <v>485</v>
      </c>
      <c r="D2" s="226" t="s">
        <v>486</v>
      </c>
      <c r="E2" s="227" t="s">
        <v>487</v>
      </c>
    </row>
    <row r="3" spans="1:5" ht="28.05" customHeight="1">
      <c r="A3" s="292"/>
      <c r="B3" s="92" t="s">
        <v>761</v>
      </c>
      <c r="C3" s="93" t="s">
        <v>340</v>
      </c>
      <c r="D3" s="94" t="s">
        <v>341</v>
      </c>
      <c r="E3" s="95">
        <v>424600</v>
      </c>
    </row>
    <row r="4" spans="1:5" ht="28.05" customHeight="1">
      <c r="A4" s="292"/>
      <c r="B4" s="92" t="s">
        <v>766</v>
      </c>
      <c r="C4" s="93" t="s">
        <v>342</v>
      </c>
      <c r="D4" s="94" t="s">
        <v>343</v>
      </c>
      <c r="E4" s="95">
        <v>495000</v>
      </c>
    </row>
    <row r="5" spans="1:5" ht="28.05" customHeight="1">
      <c r="A5" s="292"/>
      <c r="B5" s="92" t="s">
        <v>761</v>
      </c>
      <c r="C5" s="93" t="s">
        <v>344</v>
      </c>
      <c r="D5" s="94" t="s">
        <v>767</v>
      </c>
      <c r="E5" s="95">
        <v>634700</v>
      </c>
    </row>
    <row r="6" spans="1:5" ht="28.05" customHeight="1">
      <c r="A6" s="292"/>
      <c r="B6" s="92" t="s">
        <v>762</v>
      </c>
      <c r="C6" s="93" t="s">
        <v>768</v>
      </c>
      <c r="D6" s="94" t="s">
        <v>769</v>
      </c>
      <c r="E6" s="95">
        <v>572000</v>
      </c>
    </row>
    <row r="7" spans="1:5" ht="28.05" customHeight="1">
      <c r="A7" s="292"/>
      <c r="B7" s="92" t="s">
        <v>761</v>
      </c>
      <c r="C7" s="93" t="s">
        <v>257</v>
      </c>
      <c r="D7" s="94" t="s">
        <v>258</v>
      </c>
      <c r="E7" s="95">
        <v>726000</v>
      </c>
    </row>
    <row r="8" spans="1:5" ht="28.05" customHeight="1">
      <c r="A8" s="292"/>
      <c r="B8" s="92" t="s">
        <v>762</v>
      </c>
      <c r="C8" s="93" t="s">
        <v>259</v>
      </c>
      <c r="D8" s="94" t="s">
        <v>260</v>
      </c>
      <c r="E8" s="95">
        <v>858000</v>
      </c>
    </row>
    <row r="9" spans="1:5" ht="28.05" customHeight="1">
      <c r="A9" s="292"/>
      <c r="B9" s="92" t="s">
        <v>761</v>
      </c>
      <c r="C9" s="93" t="s">
        <v>261</v>
      </c>
      <c r="D9" s="94" t="s">
        <v>262</v>
      </c>
      <c r="E9" s="95">
        <v>1133000</v>
      </c>
    </row>
    <row r="10" spans="1:5" ht="28.05" customHeight="1">
      <c r="A10" s="292"/>
      <c r="B10" s="92" t="s">
        <v>766</v>
      </c>
      <c r="C10" s="93" t="s">
        <v>1273</v>
      </c>
      <c r="D10" s="94" t="s">
        <v>1275</v>
      </c>
      <c r="E10" s="95">
        <v>748000</v>
      </c>
    </row>
    <row r="11" spans="1:5" ht="28.05" customHeight="1">
      <c r="A11" s="292"/>
      <c r="B11" s="92" t="s">
        <v>766</v>
      </c>
      <c r="C11" s="93" t="s">
        <v>1274</v>
      </c>
      <c r="D11" s="94" t="s">
        <v>1276</v>
      </c>
      <c r="E11" s="95">
        <v>891000</v>
      </c>
    </row>
    <row r="12" spans="1:5" ht="28.05" customHeight="1">
      <c r="A12" s="292"/>
      <c r="B12" s="92" t="s">
        <v>763</v>
      </c>
      <c r="C12" s="93" t="s">
        <v>382</v>
      </c>
      <c r="D12" s="94" t="s">
        <v>396</v>
      </c>
      <c r="E12" s="95">
        <v>913000</v>
      </c>
    </row>
    <row r="13" spans="1:5" ht="28.05" customHeight="1">
      <c r="A13" s="292"/>
      <c r="B13" s="92" t="s">
        <v>764</v>
      </c>
      <c r="C13" s="93" t="s">
        <v>383</v>
      </c>
      <c r="D13" s="94" t="s">
        <v>397</v>
      </c>
      <c r="E13" s="95">
        <v>1067000</v>
      </c>
    </row>
    <row r="14" spans="1:5" ht="28.05" customHeight="1">
      <c r="A14" s="292"/>
      <c r="B14" s="92" t="s">
        <v>761</v>
      </c>
      <c r="C14" s="93" t="s">
        <v>384</v>
      </c>
      <c r="D14" s="94" t="s">
        <v>398</v>
      </c>
      <c r="E14" s="95">
        <v>1364000</v>
      </c>
    </row>
    <row r="15" spans="1:5" ht="28.05" customHeight="1">
      <c r="A15" s="292"/>
      <c r="B15" s="92" t="s">
        <v>765</v>
      </c>
      <c r="C15" s="93" t="s">
        <v>385</v>
      </c>
      <c r="D15" s="94" t="s">
        <v>399</v>
      </c>
      <c r="E15" s="95">
        <v>1012000</v>
      </c>
    </row>
    <row r="16" spans="1:5" ht="28.05" customHeight="1">
      <c r="A16" s="292"/>
      <c r="B16" s="92" t="s">
        <v>761</v>
      </c>
      <c r="C16" s="93" t="s">
        <v>386</v>
      </c>
      <c r="D16" s="94" t="s">
        <v>400</v>
      </c>
      <c r="E16" s="95">
        <v>1166000</v>
      </c>
    </row>
    <row r="17" spans="1:5" ht="28.05" customHeight="1">
      <c r="A17" s="292"/>
      <c r="B17" s="92" t="s">
        <v>766</v>
      </c>
      <c r="C17" s="93" t="s">
        <v>387</v>
      </c>
      <c r="D17" s="94" t="s">
        <v>401</v>
      </c>
      <c r="E17" s="95">
        <v>1463000</v>
      </c>
    </row>
    <row r="18" spans="1:5" ht="28.05" customHeight="1">
      <c r="A18" s="292"/>
      <c r="B18" s="92" t="s">
        <v>765</v>
      </c>
      <c r="C18" s="93" t="s">
        <v>388</v>
      </c>
      <c r="D18" s="94" t="s">
        <v>402</v>
      </c>
      <c r="E18" s="95">
        <v>1210000</v>
      </c>
    </row>
    <row r="19" spans="1:5" ht="28.05" customHeight="1">
      <c r="A19" s="292"/>
      <c r="B19" s="92" t="s">
        <v>761</v>
      </c>
      <c r="C19" s="93" t="s">
        <v>389</v>
      </c>
      <c r="D19" s="94" t="s">
        <v>403</v>
      </c>
      <c r="E19" s="95">
        <v>1364000</v>
      </c>
    </row>
    <row r="20" spans="1:5" ht="28.05" customHeight="1">
      <c r="A20" s="292"/>
      <c r="B20" s="92" t="s">
        <v>766</v>
      </c>
      <c r="C20" s="93" t="s">
        <v>390</v>
      </c>
      <c r="D20" s="94" t="s">
        <v>404</v>
      </c>
      <c r="E20" s="95">
        <v>1661000</v>
      </c>
    </row>
    <row r="21" spans="1:5" ht="28.05" customHeight="1">
      <c r="A21" s="292"/>
      <c r="B21" s="92" t="s">
        <v>766</v>
      </c>
      <c r="C21" s="93" t="s">
        <v>391</v>
      </c>
      <c r="D21" s="94" t="s">
        <v>405</v>
      </c>
      <c r="E21" s="95">
        <v>1969000</v>
      </c>
    </row>
    <row r="22" spans="1:5" ht="28.05" customHeight="1">
      <c r="A22" s="292"/>
      <c r="B22" s="92" t="s">
        <v>761</v>
      </c>
      <c r="C22" s="93" t="s">
        <v>392</v>
      </c>
      <c r="D22" s="94" t="s">
        <v>406</v>
      </c>
      <c r="E22" s="95">
        <v>1419000</v>
      </c>
    </row>
    <row r="23" spans="1:5" ht="28.05" customHeight="1">
      <c r="A23" s="292"/>
      <c r="B23" s="92" t="s">
        <v>765</v>
      </c>
      <c r="C23" s="93" t="s">
        <v>393</v>
      </c>
      <c r="D23" s="94" t="s">
        <v>407</v>
      </c>
      <c r="E23" s="95">
        <v>1562000</v>
      </c>
    </row>
    <row r="24" spans="1:5" ht="28.05" customHeight="1">
      <c r="A24" s="292"/>
      <c r="B24" s="92" t="s">
        <v>765</v>
      </c>
      <c r="C24" s="93" t="s">
        <v>394</v>
      </c>
      <c r="D24" s="94" t="s">
        <v>408</v>
      </c>
      <c r="E24" s="95">
        <v>1870000</v>
      </c>
    </row>
    <row r="25" spans="1:5" ht="28.05" customHeight="1">
      <c r="A25" s="292"/>
      <c r="B25" s="92" t="s">
        <v>766</v>
      </c>
      <c r="C25" s="93" t="s">
        <v>395</v>
      </c>
      <c r="D25" s="94" t="s">
        <v>409</v>
      </c>
      <c r="E25" s="95">
        <v>2167000</v>
      </c>
    </row>
    <row r="26" spans="1:5" ht="28.05" customHeight="1">
      <c r="A26" s="292"/>
      <c r="B26" s="92" t="s">
        <v>37</v>
      </c>
      <c r="C26" s="93" t="s">
        <v>735</v>
      </c>
      <c r="D26" s="94" t="s">
        <v>736</v>
      </c>
      <c r="E26" s="95">
        <v>1023000</v>
      </c>
    </row>
    <row r="27" spans="1:5" ht="28.05" customHeight="1">
      <c r="A27" s="292"/>
      <c r="B27" s="92" t="s">
        <v>37</v>
      </c>
      <c r="C27" s="93" t="s">
        <v>737</v>
      </c>
      <c r="D27" s="94" t="s">
        <v>738</v>
      </c>
      <c r="E27" s="95">
        <v>1177000</v>
      </c>
    </row>
    <row r="28" spans="1:5" ht="28.05" customHeight="1">
      <c r="A28" s="292"/>
      <c r="B28" s="92" t="s">
        <v>37</v>
      </c>
      <c r="C28" s="93" t="s">
        <v>739</v>
      </c>
      <c r="D28" s="94" t="s">
        <v>740</v>
      </c>
      <c r="E28" s="95">
        <v>1474000</v>
      </c>
    </row>
    <row r="29" spans="1:5" ht="28.05" customHeight="1">
      <c r="A29" s="292"/>
      <c r="B29" s="92" t="s">
        <v>37</v>
      </c>
      <c r="C29" s="93" t="s">
        <v>741</v>
      </c>
      <c r="D29" s="94" t="s">
        <v>742</v>
      </c>
      <c r="E29" s="95">
        <v>1122000</v>
      </c>
    </row>
    <row r="30" spans="1:5" ht="28.05" customHeight="1">
      <c r="A30" s="292"/>
      <c r="B30" s="92" t="s">
        <v>37</v>
      </c>
      <c r="C30" s="93" t="s">
        <v>743</v>
      </c>
      <c r="D30" s="94" t="s">
        <v>744</v>
      </c>
      <c r="E30" s="95">
        <v>1276000</v>
      </c>
    </row>
    <row r="31" spans="1:5" ht="28.05" customHeight="1">
      <c r="A31" s="292"/>
      <c r="B31" s="92" t="s">
        <v>37</v>
      </c>
      <c r="C31" s="93" t="s">
        <v>745</v>
      </c>
      <c r="D31" s="94" t="s">
        <v>746</v>
      </c>
      <c r="E31" s="95">
        <v>1573000</v>
      </c>
    </row>
    <row r="32" spans="1:5" ht="28.05" customHeight="1">
      <c r="A32" s="292"/>
      <c r="B32" s="92" t="s">
        <v>37</v>
      </c>
      <c r="C32" s="93" t="s">
        <v>747</v>
      </c>
      <c r="D32" s="94" t="s">
        <v>748</v>
      </c>
      <c r="E32" s="95">
        <v>1320000</v>
      </c>
    </row>
    <row r="33" spans="1:5" ht="28.05" customHeight="1">
      <c r="A33" s="292"/>
      <c r="B33" s="92" t="s">
        <v>37</v>
      </c>
      <c r="C33" s="93" t="s">
        <v>749</v>
      </c>
      <c r="D33" s="94" t="s">
        <v>750</v>
      </c>
      <c r="E33" s="95">
        <v>1474000</v>
      </c>
    </row>
    <row r="34" spans="1:5" ht="28.05" customHeight="1">
      <c r="A34" s="292"/>
      <c r="B34" s="92" t="s">
        <v>37</v>
      </c>
      <c r="C34" s="93" t="s">
        <v>751</v>
      </c>
      <c r="D34" s="94" t="s">
        <v>752</v>
      </c>
      <c r="E34" s="95">
        <v>1771000</v>
      </c>
    </row>
    <row r="35" spans="1:5" ht="28.05" customHeight="1">
      <c r="A35" s="292"/>
      <c r="B35" s="92" t="s">
        <v>37</v>
      </c>
      <c r="C35" s="93" t="s">
        <v>753</v>
      </c>
      <c r="D35" s="94" t="s">
        <v>754</v>
      </c>
      <c r="E35" s="95">
        <v>2079000</v>
      </c>
    </row>
    <row r="36" spans="1:5" ht="28.05" customHeight="1">
      <c r="A36" s="292"/>
      <c r="B36" s="92" t="s">
        <v>37</v>
      </c>
      <c r="C36" s="93" t="s">
        <v>840</v>
      </c>
      <c r="D36" s="94" t="s">
        <v>843</v>
      </c>
      <c r="E36" s="95">
        <v>1672000</v>
      </c>
    </row>
    <row r="37" spans="1:5" ht="28.05" customHeight="1">
      <c r="A37" s="292"/>
      <c r="B37" s="92" t="s">
        <v>37</v>
      </c>
      <c r="C37" s="93" t="s">
        <v>841</v>
      </c>
      <c r="D37" s="94" t="s">
        <v>844</v>
      </c>
      <c r="E37" s="95">
        <v>1980000</v>
      </c>
    </row>
    <row r="38" spans="1:5" ht="28.05" customHeight="1">
      <c r="A38" s="292"/>
      <c r="B38" s="92" t="s">
        <v>37</v>
      </c>
      <c r="C38" s="93" t="s">
        <v>842</v>
      </c>
      <c r="D38" s="94" t="s">
        <v>845</v>
      </c>
      <c r="E38" s="95">
        <v>2277000</v>
      </c>
    </row>
    <row r="39" spans="1:5" ht="28.05" customHeight="1">
      <c r="A39" s="292"/>
      <c r="B39" s="92" t="s">
        <v>37</v>
      </c>
      <c r="C39" s="93" t="s">
        <v>1398</v>
      </c>
      <c r="D39" s="94" t="s">
        <v>1417</v>
      </c>
      <c r="E39" s="95">
        <v>1023000</v>
      </c>
    </row>
    <row r="40" spans="1:5" ht="28.05" customHeight="1">
      <c r="A40" s="292"/>
      <c r="B40" s="92" t="s">
        <v>37</v>
      </c>
      <c r="C40" s="93" t="s">
        <v>1400</v>
      </c>
      <c r="D40" s="94" t="s">
        <v>1418</v>
      </c>
      <c r="E40" s="95">
        <v>1177000</v>
      </c>
    </row>
    <row r="41" spans="1:5" ht="28.05" customHeight="1">
      <c r="A41" s="292"/>
      <c r="B41" s="92" t="s">
        <v>37</v>
      </c>
      <c r="C41" s="93" t="s">
        <v>1402</v>
      </c>
      <c r="D41" s="94" t="s">
        <v>1419</v>
      </c>
      <c r="E41" s="95">
        <v>1474000</v>
      </c>
    </row>
    <row r="42" spans="1:5" ht="28.05" customHeight="1">
      <c r="A42" s="292"/>
      <c r="B42" s="92" t="s">
        <v>37</v>
      </c>
      <c r="C42" s="93" t="s">
        <v>1404</v>
      </c>
      <c r="D42" s="94" t="s">
        <v>1420</v>
      </c>
      <c r="E42" s="95">
        <v>1122000</v>
      </c>
    </row>
    <row r="43" spans="1:5" ht="28.05" customHeight="1">
      <c r="A43" s="292"/>
      <c r="B43" s="92" t="s">
        <v>37</v>
      </c>
      <c r="C43" s="93" t="s">
        <v>1406</v>
      </c>
      <c r="D43" s="94" t="s">
        <v>1421</v>
      </c>
      <c r="E43" s="95">
        <v>1276000</v>
      </c>
    </row>
    <row r="44" spans="1:5" ht="28.05" customHeight="1">
      <c r="A44" s="292"/>
      <c r="B44" s="92" t="s">
        <v>37</v>
      </c>
      <c r="C44" s="93" t="s">
        <v>1408</v>
      </c>
      <c r="D44" s="94" t="s">
        <v>1422</v>
      </c>
      <c r="E44" s="95">
        <v>1573000</v>
      </c>
    </row>
    <row r="45" spans="1:5" ht="28.05" customHeight="1">
      <c r="A45" s="292"/>
      <c r="B45" s="92" t="s">
        <v>37</v>
      </c>
      <c r="C45" s="93" t="s">
        <v>1410</v>
      </c>
      <c r="D45" s="94" t="s">
        <v>1423</v>
      </c>
      <c r="E45" s="95">
        <v>1320000</v>
      </c>
    </row>
    <row r="46" spans="1:5" ht="28.05" customHeight="1">
      <c r="A46" s="292"/>
      <c r="B46" s="92" t="s">
        <v>37</v>
      </c>
      <c r="C46" s="93" t="s">
        <v>1411</v>
      </c>
      <c r="D46" s="94" t="s">
        <v>1424</v>
      </c>
      <c r="E46" s="95">
        <v>1474000</v>
      </c>
    </row>
    <row r="47" spans="1:5" ht="28.05" customHeight="1">
      <c r="A47" s="292"/>
      <c r="B47" s="92" t="s">
        <v>37</v>
      </c>
      <c r="C47" s="93" t="s">
        <v>1412</v>
      </c>
      <c r="D47" s="94" t="s">
        <v>1425</v>
      </c>
      <c r="E47" s="95">
        <v>1771000</v>
      </c>
    </row>
    <row r="48" spans="1:5" ht="28.05" customHeight="1">
      <c r="A48" s="292"/>
      <c r="B48" s="92" t="s">
        <v>37</v>
      </c>
      <c r="C48" s="93" t="s">
        <v>1415</v>
      </c>
      <c r="D48" s="94" t="s">
        <v>1426</v>
      </c>
      <c r="E48" s="95">
        <v>2079000</v>
      </c>
    </row>
    <row r="49" spans="1:5" ht="28.05" customHeight="1">
      <c r="A49" s="292"/>
      <c r="B49" s="92" t="s">
        <v>37</v>
      </c>
      <c r="C49" s="93" t="s">
        <v>1413</v>
      </c>
      <c r="D49" s="94" t="s">
        <v>1427</v>
      </c>
      <c r="E49" s="95">
        <v>1672000</v>
      </c>
    </row>
    <row r="50" spans="1:5" ht="28.05" customHeight="1">
      <c r="A50" s="292"/>
      <c r="B50" s="92" t="s">
        <v>37</v>
      </c>
      <c r="C50" s="93" t="s">
        <v>1414</v>
      </c>
      <c r="D50" s="94" t="s">
        <v>1428</v>
      </c>
      <c r="E50" s="95">
        <v>1980000</v>
      </c>
    </row>
    <row r="51" spans="1:5" ht="28.05" customHeight="1">
      <c r="A51" s="292"/>
      <c r="B51" s="92" t="s">
        <v>37</v>
      </c>
      <c r="C51" s="93" t="s">
        <v>1416</v>
      </c>
      <c r="D51" s="94" t="s">
        <v>1429</v>
      </c>
      <c r="E51" s="95">
        <v>2277000</v>
      </c>
    </row>
    <row r="52" spans="1:5" ht="28.05" customHeight="1">
      <c r="A52" s="292"/>
      <c r="B52" s="92" t="s">
        <v>761</v>
      </c>
      <c r="C52" s="93" t="s">
        <v>1510</v>
      </c>
      <c r="D52" s="94" t="s">
        <v>1516</v>
      </c>
      <c r="E52" s="95">
        <v>990000</v>
      </c>
    </row>
    <row r="53" spans="1:5" ht="28.05" customHeight="1">
      <c r="A53" s="292"/>
      <c r="B53" s="92" t="s">
        <v>766</v>
      </c>
      <c r="C53" s="93" t="s">
        <v>1512</v>
      </c>
      <c r="D53" s="94" t="s">
        <v>1518</v>
      </c>
      <c r="E53" s="95">
        <v>1133000</v>
      </c>
    </row>
    <row r="54" spans="1:5" ht="28.05" customHeight="1">
      <c r="A54" s="292"/>
      <c r="B54" s="92" t="s">
        <v>761</v>
      </c>
      <c r="C54" s="93" t="s">
        <v>1514</v>
      </c>
      <c r="D54" s="94" t="s">
        <v>1520</v>
      </c>
      <c r="E54" s="95">
        <v>1430000</v>
      </c>
    </row>
    <row r="55" spans="1:5" ht="28.05" customHeight="1">
      <c r="A55" s="292"/>
      <c r="B55" s="92" t="s">
        <v>37</v>
      </c>
      <c r="C55" s="93" t="s">
        <v>1580</v>
      </c>
      <c r="D55" s="94" t="s">
        <v>1592</v>
      </c>
      <c r="E55" s="95">
        <v>1287000</v>
      </c>
    </row>
    <row r="56" spans="1:5" ht="28.05" customHeight="1">
      <c r="A56" s="292"/>
      <c r="B56" s="92" t="s">
        <v>37</v>
      </c>
      <c r="C56" s="93" t="s">
        <v>1582</v>
      </c>
      <c r="D56" s="94" t="s">
        <v>1593</v>
      </c>
      <c r="E56" s="95">
        <v>1584000</v>
      </c>
    </row>
    <row r="57" spans="1:5" ht="28.05" customHeight="1">
      <c r="A57" s="292"/>
      <c r="B57" s="92" t="s">
        <v>37</v>
      </c>
      <c r="C57" s="93" t="s">
        <v>1584</v>
      </c>
      <c r="D57" s="94" t="s">
        <v>1589</v>
      </c>
      <c r="E57" s="95">
        <v>1584000</v>
      </c>
    </row>
    <row r="58" spans="1:5" ht="28.05" customHeight="1">
      <c r="A58" s="292"/>
      <c r="B58" s="92" t="s">
        <v>37</v>
      </c>
      <c r="C58" s="93" t="s">
        <v>1586</v>
      </c>
      <c r="D58" s="94" t="s">
        <v>1590</v>
      </c>
      <c r="E58" s="95">
        <v>1881000</v>
      </c>
    </row>
    <row r="59" spans="1:5" ht="28.05" customHeight="1">
      <c r="A59" s="292"/>
      <c r="B59" s="92" t="s">
        <v>37</v>
      </c>
      <c r="C59" s="93" t="s">
        <v>1588</v>
      </c>
      <c r="D59" s="94" t="s">
        <v>1591</v>
      </c>
      <c r="E59" s="95">
        <v>2189000</v>
      </c>
    </row>
    <row r="60" spans="1:5" ht="28.05" customHeight="1">
      <c r="A60" s="292"/>
      <c r="B60" s="92" t="s">
        <v>37</v>
      </c>
      <c r="C60" s="93" t="s">
        <v>1595</v>
      </c>
      <c r="D60" s="94" t="s">
        <v>1600</v>
      </c>
      <c r="E60" s="95">
        <v>1782000</v>
      </c>
    </row>
    <row r="61" spans="1:5" ht="28.05" customHeight="1">
      <c r="A61" s="292"/>
      <c r="B61" s="92" t="s">
        <v>37</v>
      </c>
      <c r="C61" s="93" t="s">
        <v>1597</v>
      </c>
      <c r="D61" s="94" t="s">
        <v>1601</v>
      </c>
      <c r="E61" s="95">
        <v>2090000</v>
      </c>
    </row>
    <row r="62" spans="1:5" ht="28.05" customHeight="1">
      <c r="A62" s="292"/>
      <c r="B62" s="92" t="s">
        <v>37</v>
      </c>
      <c r="C62" s="93" t="s">
        <v>1599</v>
      </c>
      <c r="D62" s="94" t="s">
        <v>1602</v>
      </c>
      <c r="E62" s="95">
        <v>2387000</v>
      </c>
    </row>
    <row r="63" spans="1:5" ht="28.05" customHeight="1">
      <c r="A63" s="292"/>
      <c r="B63" s="92" t="s">
        <v>37</v>
      </c>
      <c r="C63" s="93" t="s">
        <v>1608</v>
      </c>
      <c r="D63" s="94" t="s">
        <v>1603</v>
      </c>
      <c r="E63" s="95">
        <v>1980000</v>
      </c>
    </row>
    <row r="64" spans="1:5" ht="28.05" customHeight="1">
      <c r="A64" s="292"/>
      <c r="B64" s="92" t="s">
        <v>37</v>
      </c>
      <c r="C64" s="93" t="s">
        <v>1610</v>
      </c>
      <c r="D64" s="94" t="s">
        <v>1604</v>
      </c>
      <c r="E64" s="95">
        <v>2288000</v>
      </c>
    </row>
    <row r="65" spans="1:5" ht="28.05" customHeight="1">
      <c r="A65" s="292"/>
      <c r="B65" s="92" t="s">
        <v>37</v>
      </c>
      <c r="C65" s="93" t="s">
        <v>1612</v>
      </c>
      <c r="D65" s="94" t="s">
        <v>1605</v>
      </c>
      <c r="E65" s="95">
        <v>2585000</v>
      </c>
    </row>
    <row r="66" spans="1:5" ht="28.05" customHeight="1">
      <c r="A66" s="292"/>
      <c r="B66" s="92" t="s">
        <v>37</v>
      </c>
      <c r="C66" s="93" t="s">
        <v>1614</v>
      </c>
      <c r="D66" s="94" t="s">
        <v>1606</v>
      </c>
      <c r="E66" s="95">
        <v>3190000</v>
      </c>
    </row>
    <row r="67" spans="1:5" ht="28.05" customHeight="1">
      <c r="A67" s="292"/>
      <c r="B67" s="92" t="s">
        <v>766</v>
      </c>
      <c r="C67" s="93" t="s">
        <v>1683</v>
      </c>
      <c r="D67" s="94" t="s">
        <v>1685</v>
      </c>
      <c r="E67" s="95">
        <v>990000</v>
      </c>
    </row>
    <row r="68" spans="1:5" ht="28.05" customHeight="1">
      <c r="A68" s="292"/>
      <c r="B68" s="92" t="s">
        <v>761</v>
      </c>
      <c r="C68" s="93" t="s">
        <v>1684</v>
      </c>
      <c r="D68" s="94" t="s">
        <v>1686</v>
      </c>
      <c r="E68" s="95">
        <v>1287000</v>
      </c>
    </row>
    <row r="69" spans="1:5" ht="28.05" customHeight="1">
      <c r="A69" s="292"/>
      <c r="B69" s="92" t="s">
        <v>381</v>
      </c>
      <c r="C69" s="93" t="s">
        <v>1622</v>
      </c>
      <c r="D69" s="94" t="s">
        <v>1621</v>
      </c>
      <c r="E69" s="95">
        <v>946000</v>
      </c>
    </row>
    <row r="70" spans="1:5" ht="28.05" customHeight="1">
      <c r="A70" s="292"/>
      <c r="B70" s="92" t="s">
        <v>381</v>
      </c>
      <c r="C70" s="93" t="s">
        <v>1656</v>
      </c>
      <c r="D70" s="94" t="s">
        <v>1657</v>
      </c>
      <c r="E70" s="95">
        <v>946000</v>
      </c>
    </row>
    <row r="71" spans="1:5" ht="28.05" customHeight="1">
      <c r="A71" s="292"/>
      <c r="B71" s="92" t="s">
        <v>381</v>
      </c>
      <c r="C71" s="93" t="s">
        <v>1695</v>
      </c>
      <c r="D71" s="94" t="s">
        <v>1697</v>
      </c>
      <c r="E71" s="95">
        <v>1254000</v>
      </c>
    </row>
    <row r="72" spans="1:5" ht="28.05" customHeight="1">
      <c r="A72" s="292"/>
      <c r="B72" s="92" t="s">
        <v>381</v>
      </c>
      <c r="C72" s="93" t="s">
        <v>1696</v>
      </c>
      <c r="D72" s="94" t="s">
        <v>1689</v>
      </c>
      <c r="E72" s="95">
        <v>1507000</v>
      </c>
    </row>
    <row r="73" spans="1:5" ht="28.05" customHeight="1">
      <c r="A73" s="292"/>
      <c r="B73" s="92" t="s">
        <v>381</v>
      </c>
      <c r="C73" s="93" t="s">
        <v>1694</v>
      </c>
      <c r="D73" s="94" t="s">
        <v>1698</v>
      </c>
      <c r="E73" s="95">
        <v>1452000</v>
      </c>
    </row>
    <row r="74" spans="1:5" ht="28.05" customHeight="1">
      <c r="A74" s="292"/>
      <c r="B74" s="92" t="s">
        <v>381</v>
      </c>
      <c r="C74" s="93" t="s">
        <v>1693</v>
      </c>
      <c r="D74" s="94" t="s">
        <v>1690</v>
      </c>
      <c r="E74" s="95">
        <v>1705000</v>
      </c>
    </row>
    <row r="75" spans="1:5" ht="28.05" customHeight="1">
      <c r="A75" s="292"/>
      <c r="B75" s="92" t="s">
        <v>381</v>
      </c>
      <c r="C75" s="93" t="s">
        <v>1687</v>
      </c>
      <c r="D75" s="94" t="s">
        <v>1692</v>
      </c>
      <c r="E75" s="95">
        <v>1797400</v>
      </c>
    </row>
    <row r="76" spans="1:5" ht="28.05" customHeight="1">
      <c r="A76" s="292"/>
      <c r="B76" s="92" t="s">
        <v>381</v>
      </c>
      <c r="C76" s="93" t="s">
        <v>1688</v>
      </c>
      <c r="D76" s="94" t="s">
        <v>1691</v>
      </c>
      <c r="E76" s="95">
        <v>2050400</v>
      </c>
    </row>
    <row r="77" spans="1:5" ht="28.05" customHeight="1">
      <c r="A77" s="292"/>
      <c r="B77" s="92" t="s">
        <v>381</v>
      </c>
      <c r="C77" s="93" t="s">
        <v>1491</v>
      </c>
      <c r="D77" s="94" t="s">
        <v>1497</v>
      </c>
      <c r="E77" s="95">
        <v>1155000</v>
      </c>
    </row>
    <row r="78" spans="1:5" ht="28.05" customHeight="1">
      <c r="A78" s="292"/>
      <c r="B78" s="92" t="s">
        <v>381</v>
      </c>
      <c r="C78" s="93" t="s">
        <v>1492</v>
      </c>
      <c r="D78" s="94" t="s">
        <v>1498</v>
      </c>
      <c r="E78" s="95">
        <v>1298000</v>
      </c>
    </row>
    <row r="79" spans="1:5" ht="28.05" customHeight="1">
      <c r="A79" s="292"/>
      <c r="B79" s="92" t="s">
        <v>381</v>
      </c>
      <c r="C79" s="93" t="s">
        <v>1493</v>
      </c>
      <c r="D79" s="94" t="s">
        <v>1499</v>
      </c>
      <c r="E79" s="95">
        <v>1353000</v>
      </c>
    </row>
    <row r="80" spans="1:5" ht="28.05" customHeight="1">
      <c r="A80" s="292"/>
      <c r="B80" s="92" t="s">
        <v>381</v>
      </c>
      <c r="C80" s="93" t="s">
        <v>1494</v>
      </c>
      <c r="D80" s="94" t="s">
        <v>1500</v>
      </c>
      <c r="E80" s="95">
        <v>1496000</v>
      </c>
    </row>
    <row r="81" spans="1:6" ht="28.05" customHeight="1">
      <c r="A81" s="292"/>
      <c r="B81" s="92" t="s">
        <v>381</v>
      </c>
      <c r="C81" s="93" t="s">
        <v>1495</v>
      </c>
      <c r="D81" s="94" t="s">
        <v>1501</v>
      </c>
      <c r="E81" s="95">
        <v>1698400</v>
      </c>
    </row>
    <row r="82" spans="1:6" ht="28.05" customHeight="1">
      <c r="A82" s="292"/>
      <c r="B82" s="92" t="s">
        <v>381</v>
      </c>
      <c r="C82" s="93" t="s">
        <v>1496</v>
      </c>
      <c r="D82" s="94" t="s">
        <v>1502</v>
      </c>
      <c r="E82" s="95">
        <v>1841400</v>
      </c>
    </row>
    <row r="83" spans="1:6" ht="28.05" customHeight="1">
      <c r="A83" s="292"/>
      <c r="B83" s="92" t="s">
        <v>381</v>
      </c>
      <c r="C83" s="93" t="s">
        <v>1533</v>
      </c>
      <c r="D83" s="94" t="s">
        <v>1534</v>
      </c>
      <c r="E83" s="95">
        <v>1496000</v>
      </c>
    </row>
    <row r="84" spans="1:6" ht="28.05" customHeight="1">
      <c r="A84" s="292"/>
      <c r="B84" s="92" t="s">
        <v>381</v>
      </c>
      <c r="C84" s="93" t="s">
        <v>1532</v>
      </c>
      <c r="D84" s="94" t="s">
        <v>1535</v>
      </c>
      <c r="E84" s="95">
        <v>1639000</v>
      </c>
    </row>
    <row r="85" spans="1:6" ht="28.05" customHeight="1">
      <c r="A85" s="292"/>
      <c r="B85" s="92" t="s">
        <v>86</v>
      </c>
      <c r="C85" s="93" t="s">
        <v>1652</v>
      </c>
      <c r="D85" s="94" t="s">
        <v>1654</v>
      </c>
      <c r="E85" s="95">
        <v>1496000</v>
      </c>
    </row>
    <row r="86" spans="1:6" ht="28.05" customHeight="1">
      <c r="A86" s="292"/>
      <c r="B86" s="92" t="s">
        <v>86</v>
      </c>
      <c r="C86" s="93" t="s">
        <v>1653</v>
      </c>
      <c r="D86" s="94" t="s">
        <v>1655</v>
      </c>
      <c r="E86" s="95">
        <v>1639000</v>
      </c>
    </row>
    <row r="87" spans="1:6" ht="28.05" customHeight="1">
      <c r="A87" s="292"/>
      <c r="B87" s="92" t="s">
        <v>86</v>
      </c>
      <c r="C87" s="93" t="s">
        <v>937</v>
      </c>
      <c r="D87" s="94" t="s">
        <v>938</v>
      </c>
      <c r="E87" s="95">
        <v>1056000</v>
      </c>
    </row>
    <row r="88" spans="1:6" ht="28.05" customHeight="1">
      <c r="A88" s="292"/>
      <c r="B88" s="92" t="s">
        <v>86</v>
      </c>
      <c r="C88" s="93" t="s">
        <v>935</v>
      </c>
      <c r="D88" s="94" t="s">
        <v>944</v>
      </c>
      <c r="E88" s="95">
        <v>1199000</v>
      </c>
      <c r="F88" s="290"/>
    </row>
    <row r="89" spans="1:6" ht="28.05" customHeight="1">
      <c r="A89" s="292"/>
      <c r="B89" s="92" t="s">
        <v>86</v>
      </c>
      <c r="C89" s="93" t="s">
        <v>936</v>
      </c>
      <c r="D89" s="94" t="s">
        <v>939</v>
      </c>
      <c r="E89" s="95">
        <v>1254000</v>
      </c>
    </row>
    <row r="90" spans="1:6" ht="28.05" customHeight="1">
      <c r="A90" s="292"/>
      <c r="B90" s="92" t="s">
        <v>86</v>
      </c>
      <c r="C90" s="93" t="s">
        <v>945</v>
      </c>
      <c r="D90" s="94" t="s">
        <v>943</v>
      </c>
      <c r="E90" s="95">
        <v>1397000</v>
      </c>
    </row>
    <row r="91" spans="1:6" ht="28.05" customHeight="1">
      <c r="A91" s="292"/>
      <c r="B91" s="92" t="s">
        <v>86</v>
      </c>
      <c r="C91" s="93" t="s">
        <v>932</v>
      </c>
      <c r="D91" s="94" t="s">
        <v>940</v>
      </c>
      <c r="E91" s="95">
        <v>1544400</v>
      </c>
    </row>
    <row r="92" spans="1:6" ht="28.05" customHeight="1">
      <c r="A92" s="292"/>
      <c r="B92" s="92" t="s">
        <v>86</v>
      </c>
      <c r="C92" s="93" t="s">
        <v>941</v>
      </c>
      <c r="D92" s="94" t="s">
        <v>942</v>
      </c>
      <c r="E92" s="95">
        <v>1687400</v>
      </c>
    </row>
    <row r="93" spans="1:6" ht="28.05" customHeight="1">
      <c r="A93" s="292"/>
      <c r="B93" s="92" t="s">
        <v>86</v>
      </c>
      <c r="C93" s="93" t="s">
        <v>1475</v>
      </c>
      <c r="D93" s="94" t="s">
        <v>1476</v>
      </c>
      <c r="E93" s="95">
        <v>946000</v>
      </c>
    </row>
    <row r="94" spans="1:6" ht="28.05" customHeight="1">
      <c r="A94" s="292"/>
      <c r="B94" s="92" t="s">
        <v>770</v>
      </c>
      <c r="C94" s="93" t="s">
        <v>536</v>
      </c>
      <c r="D94" s="94" t="s">
        <v>771</v>
      </c>
      <c r="E94" s="95">
        <v>1155000</v>
      </c>
    </row>
    <row r="95" spans="1:6" ht="28.05" customHeight="1">
      <c r="A95" s="292"/>
      <c r="B95" s="92" t="s">
        <v>770</v>
      </c>
      <c r="C95" s="93" t="s">
        <v>539</v>
      </c>
      <c r="D95" s="94" t="s">
        <v>772</v>
      </c>
      <c r="E95" s="95">
        <v>1353000</v>
      </c>
    </row>
    <row r="96" spans="1:6" ht="28.05" customHeight="1">
      <c r="A96" s="292"/>
      <c r="B96" s="92" t="s">
        <v>773</v>
      </c>
      <c r="C96" s="93" t="s">
        <v>540</v>
      </c>
      <c r="D96" s="94" t="s">
        <v>774</v>
      </c>
      <c r="E96" s="95">
        <v>1599400</v>
      </c>
    </row>
    <row r="97" spans="1:6" ht="28.05" customHeight="1">
      <c r="A97" s="292"/>
      <c r="B97" s="92" t="s">
        <v>381</v>
      </c>
      <c r="C97" s="93" t="s">
        <v>1249</v>
      </c>
      <c r="D97" s="94" t="s">
        <v>1250</v>
      </c>
      <c r="E97" s="95">
        <v>1199000</v>
      </c>
    </row>
    <row r="98" spans="1:6" ht="28.05" customHeight="1">
      <c r="A98" s="292"/>
      <c r="B98" s="92" t="s">
        <v>775</v>
      </c>
      <c r="C98" s="93" t="s">
        <v>477</v>
      </c>
      <c r="D98" s="94" t="s">
        <v>478</v>
      </c>
      <c r="E98" s="95">
        <v>1276000</v>
      </c>
      <c r="F98" s="290"/>
    </row>
    <row r="99" spans="1:6" ht="28.05" customHeight="1">
      <c r="A99" s="292"/>
      <c r="B99" s="92" t="s">
        <v>776</v>
      </c>
      <c r="C99" s="93" t="s">
        <v>479</v>
      </c>
      <c r="D99" s="94" t="s">
        <v>480</v>
      </c>
      <c r="E99" s="95">
        <v>1474000</v>
      </c>
      <c r="F99" s="290"/>
    </row>
    <row r="100" spans="1:6" ht="28.05" customHeight="1">
      <c r="A100" s="292"/>
      <c r="B100" s="92" t="s">
        <v>776</v>
      </c>
      <c r="C100" s="93" t="s">
        <v>481</v>
      </c>
      <c r="D100" s="94" t="s">
        <v>482</v>
      </c>
      <c r="E100" s="95">
        <v>1720400</v>
      </c>
      <c r="F100" s="290"/>
    </row>
    <row r="101" spans="1:6" ht="28.05" customHeight="1">
      <c r="A101" s="292"/>
      <c r="B101" s="92" t="s">
        <v>776</v>
      </c>
      <c r="C101" s="93" t="s">
        <v>321</v>
      </c>
      <c r="D101" s="94" t="s">
        <v>322</v>
      </c>
      <c r="E101" s="95">
        <v>999900</v>
      </c>
    </row>
    <row r="102" spans="1:6" ht="28.05" customHeight="1">
      <c r="A102" s="292"/>
      <c r="B102" s="92" t="s">
        <v>86</v>
      </c>
      <c r="C102" s="93" t="s">
        <v>851</v>
      </c>
      <c r="D102" s="94" t="s">
        <v>852</v>
      </c>
      <c r="E102" s="95">
        <v>847000</v>
      </c>
    </row>
    <row r="103" spans="1:6" ht="28.05" customHeight="1">
      <c r="A103" s="293"/>
      <c r="B103" s="92" t="s">
        <v>776</v>
      </c>
      <c r="C103" s="93" t="s">
        <v>323</v>
      </c>
      <c r="D103" s="94" t="s">
        <v>324</v>
      </c>
      <c r="E103" s="95">
        <v>1199000</v>
      </c>
    </row>
    <row r="104" spans="1:6" ht="28.05" customHeight="1">
      <c r="A104" s="293"/>
      <c r="B104" s="92" t="s">
        <v>777</v>
      </c>
      <c r="C104" s="93" t="s">
        <v>325</v>
      </c>
      <c r="D104" s="94" t="s">
        <v>326</v>
      </c>
      <c r="E104" s="95">
        <v>1298000</v>
      </c>
    </row>
    <row r="105" spans="1:6" ht="28.05" customHeight="1">
      <c r="A105" s="293"/>
      <c r="B105" s="92" t="s">
        <v>778</v>
      </c>
      <c r="C105" s="93" t="s">
        <v>327</v>
      </c>
      <c r="D105" s="94" t="s">
        <v>328</v>
      </c>
      <c r="E105" s="95">
        <v>1397000</v>
      </c>
    </row>
    <row r="106" spans="1:6" ht="28.05" customHeight="1">
      <c r="A106" s="292"/>
      <c r="B106" s="92" t="s">
        <v>381</v>
      </c>
      <c r="C106" s="93" t="s">
        <v>1542</v>
      </c>
      <c r="D106" s="94" t="s">
        <v>1557</v>
      </c>
      <c r="E106" s="95">
        <v>1485000</v>
      </c>
    </row>
    <row r="107" spans="1:6" ht="28.05" customHeight="1">
      <c r="A107" s="292"/>
      <c r="B107" s="92" t="s">
        <v>381</v>
      </c>
      <c r="C107" s="93" t="s">
        <v>1558</v>
      </c>
      <c r="D107" s="94" t="s">
        <v>1559</v>
      </c>
      <c r="E107" s="95">
        <v>1643400</v>
      </c>
    </row>
    <row r="108" spans="1:6" ht="28.05" customHeight="1">
      <c r="A108" s="292"/>
      <c r="B108" s="92" t="s">
        <v>381</v>
      </c>
      <c r="C108" s="93" t="s">
        <v>1548</v>
      </c>
      <c r="D108" s="94" t="s">
        <v>1560</v>
      </c>
      <c r="E108" s="95">
        <v>2379300</v>
      </c>
    </row>
    <row r="109" spans="1:6" ht="28.05" customHeight="1">
      <c r="A109" s="292"/>
      <c r="B109" s="92" t="s">
        <v>381</v>
      </c>
      <c r="C109" s="93" t="s">
        <v>1552</v>
      </c>
      <c r="D109" s="94" t="s">
        <v>1561</v>
      </c>
      <c r="E109" s="95">
        <v>2537700</v>
      </c>
    </row>
    <row r="110" spans="1:6" ht="28.05" customHeight="1">
      <c r="A110" s="292"/>
      <c r="B110" s="92" t="s">
        <v>381</v>
      </c>
      <c r="C110" s="93" t="s">
        <v>1259</v>
      </c>
      <c r="D110" s="94" t="s">
        <v>1260</v>
      </c>
      <c r="E110" s="95">
        <v>1485000</v>
      </c>
    </row>
    <row r="111" spans="1:6" ht="28.05" customHeight="1">
      <c r="A111" s="292"/>
      <c r="B111" s="92" t="s">
        <v>381</v>
      </c>
      <c r="C111" s="93" t="s">
        <v>1263</v>
      </c>
      <c r="D111" s="94" t="s">
        <v>1264</v>
      </c>
      <c r="E111" s="95">
        <v>1643400</v>
      </c>
    </row>
    <row r="112" spans="1:6" ht="28.05" customHeight="1">
      <c r="A112" s="292"/>
      <c r="B112" s="92" t="s">
        <v>381</v>
      </c>
      <c r="C112" s="93" t="s">
        <v>1261</v>
      </c>
      <c r="D112" s="94" t="s">
        <v>1262</v>
      </c>
      <c r="E112" s="95">
        <v>2229700</v>
      </c>
    </row>
    <row r="113" spans="1:5" ht="28.05" customHeight="1">
      <c r="A113" s="292"/>
      <c r="B113" s="92" t="s">
        <v>381</v>
      </c>
      <c r="C113" s="93" t="s">
        <v>1265</v>
      </c>
      <c r="D113" s="94" t="s">
        <v>1266</v>
      </c>
      <c r="E113" s="95">
        <v>2388100</v>
      </c>
    </row>
    <row r="114" spans="1:5" ht="28.05" customHeight="1">
      <c r="A114" s="293"/>
      <c r="B114" s="92" t="s">
        <v>773</v>
      </c>
      <c r="C114" s="93" t="s">
        <v>779</v>
      </c>
      <c r="D114" s="94" t="s">
        <v>780</v>
      </c>
      <c r="E114" s="95">
        <v>1300200</v>
      </c>
    </row>
    <row r="115" spans="1:5" ht="28.05" customHeight="1">
      <c r="A115" s="293"/>
      <c r="B115" s="92" t="s">
        <v>778</v>
      </c>
      <c r="C115" s="93" t="s">
        <v>781</v>
      </c>
      <c r="D115" s="94" t="s">
        <v>782</v>
      </c>
      <c r="E115" s="95">
        <v>1897500</v>
      </c>
    </row>
    <row r="116" spans="1:5" ht="28.05" customHeight="1">
      <c r="A116" s="293"/>
      <c r="B116" s="92" t="s">
        <v>773</v>
      </c>
      <c r="C116" s="93" t="s">
        <v>729</v>
      </c>
      <c r="D116" s="94" t="s">
        <v>783</v>
      </c>
      <c r="E116" s="95">
        <v>1421200</v>
      </c>
    </row>
    <row r="117" spans="1:5" ht="28.05" customHeight="1">
      <c r="A117" s="293"/>
      <c r="B117" s="92" t="s">
        <v>773</v>
      </c>
      <c r="C117" s="93" t="s">
        <v>731</v>
      </c>
      <c r="D117" s="94" t="s">
        <v>733</v>
      </c>
      <c r="E117" s="95">
        <v>2018500</v>
      </c>
    </row>
    <row r="118" spans="1:5" ht="28.05" customHeight="1">
      <c r="A118" s="293"/>
      <c r="B118" s="92" t="s">
        <v>784</v>
      </c>
      <c r="C118" s="93" t="s">
        <v>362</v>
      </c>
      <c r="D118" s="94" t="s">
        <v>363</v>
      </c>
      <c r="E118" s="95">
        <v>1598300</v>
      </c>
    </row>
    <row r="119" spans="1:5" ht="28.05" customHeight="1">
      <c r="A119" s="293"/>
      <c r="B119" s="92" t="s">
        <v>86</v>
      </c>
      <c r="C119" s="93" t="s">
        <v>364</v>
      </c>
      <c r="D119" s="94" t="s">
        <v>365</v>
      </c>
      <c r="E119" s="95">
        <v>1719300</v>
      </c>
    </row>
    <row r="120" spans="1:5" ht="28.05" customHeight="1">
      <c r="A120" s="293"/>
      <c r="B120" s="92" t="s">
        <v>785</v>
      </c>
      <c r="C120" s="93" t="s">
        <v>366</v>
      </c>
      <c r="D120" s="94" t="s">
        <v>367</v>
      </c>
      <c r="E120" s="95">
        <v>1155000</v>
      </c>
    </row>
    <row r="121" spans="1:5" ht="28.05" customHeight="1">
      <c r="A121" s="293"/>
      <c r="B121" s="92" t="s">
        <v>778</v>
      </c>
      <c r="C121" s="93" t="s">
        <v>368</v>
      </c>
      <c r="D121" s="94" t="s">
        <v>369</v>
      </c>
      <c r="E121" s="95">
        <v>1276000</v>
      </c>
    </row>
    <row r="122" spans="1:5" ht="28.05" customHeight="1">
      <c r="A122" s="293"/>
      <c r="B122" s="92" t="s">
        <v>86</v>
      </c>
      <c r="C122" s="93" t="s">
        <v>1538</v>
      </c>
      <c r="D122" s="94" t="s">
        <v>1539</v>
      </c>
      <c r="E122" s="95">
        <v>499400</v>
      </c>
    </row>
    <row r="123" spans="1:5" ht="28.05" customHeight="1">
      <c r="A123" s="293"/>
      <c r="B123" s="92" t="s">
        <v>86</v>
      </c>
      <c r="C123" s="93" t="s">
        <v>1255</v>
      </c>
      <c r="D123" s="94" t="s">
        <v>1256</v>
      </c>
      <c r="E123" s="95">
        <v>499400</v>
      </c>
    </row>
    <row r="124" spans="1:5" ht="28.05" customHeight="1">
      <c r="A124" s="293"/>
      <c r="B124" s="92" t="s">
        <v>776</v>
      </c>
      <c r="C124" s="93" t="s">
        <v>786</v>
      </c>
      <c r="D124" s="94" t="s">
        <v>787</v>
      </c>
      <c r="E124" s="95">
        <v>499400</v>
      </c>
    </row>
    <row r="125" spans="1:5" ht="28.05" customHeight="1">
      <c r="A125" s="294"/>
      <c r="B125" s="92" t="s">
        <v>86</v>
      </c>
      <c r="C125" s="93" t="s">
        <v>1536</v>
      </c>
      <c r="D125" s="94" t="s">
        <v>1537</v>
      </c>
      <c r="E125" s="95">
        <v>449900</v>
      </c>
    </row>
    <row r="126" spans="1:5" ht="28.05" customHeight="1">
      <c r="A126" s="294"/>
      <c r="B126" s="92" t="s">
        <v>86</v>
      </c>
      <c r="C126" s="93" t="s">
        <v>846</v>
      </c>
      <c r="D126" s="94" t="s">
        <v>847</v>
      </c>
      <c r="E126" s="95">
        <v>438900</v>
      </c>
    </row>
    <row r="127" spans="1:5" ht="28.05" customHeight="1">
      <c r="A127" s="294"/>
      <c r="B127" s="92" t="s">
        <v>1632</v>
      </c>
      <c r="C127" s="93" t="s">
        <v>1633</v>
      </c>
      <c r="D127" s="94" t="s">
        <v>1636</v>
      </c>
      <c r="E127" s="95">
        <v>349800</v>
      </c>
    </row>
    <row r="128" spans="1:5" ht="28.05" customHeight="1">
      <c r="A128" s="294"/>
      <c r="B128" s="92" t="s">
        <v>1632</v>
      </c>
      <c r="C128" s="93" t="s">
        <v>1634</v>
      </c>
      <c r="D128" s="94" t="s">
        <v>1637</v>
      </c>
      <c r="E128" s="95">
        <v>330000</v>
      </c>
    </row>
    <row r="129" spans="1:5" ht="28.05" customHeight="1">
      <c r="A129" s="294"/>
      <c r="B129" s="92" t="s">
        <v>1632</v>
      </c>
      <c r="C129" s="93" t="s">
        <v>1635</v>
      </c>
      <c r="D129" s="94" t="s">
        <v>1638</v>
      </c>
      <c r="E129" s="95">
        <v>211200</v>
      </c>
    </row>
    <row r="130" spans="1:5" ht="28.05" customHeight="1">
      <c r="A130" s="294"/>
      <c r="B130" s="92" t="s">
        <v>789</v>
      </c>
      <c r="C130" s="93" t="s">
        <v>790</v>
      </c>
      <c r="D130" s="94" t="s">
        <v>791</v>
      </c>
      <c r="E130" s="95">
        <v>599500</v>
      </c>
    </row>
    <row r="131" spans="1:5" ht="28.05" customHeight="1">
      <c r="A131" s="293"/>
      <c r="B131" s="92" t="s">
        <v>789</v>
      </c>
      <c r="C131" s="93" t="s">
        <v>1192</v>
      </c>
      <c r="D131" s="94" t="s">
        <v>1193</v>
      </c>
      <c r="E131" s="95">
        <v>399300</v>
      </c>
    </row>
    <row r="132" spans="1:5" ht="28.05" customHeight="1">
      <c r="A132" s="293"/>
      <c r="B132" s="92" t="s">
        <v>794</v>
      </c>
      <c r="C132" s="93" t="s">
        <v>1280</v>
      </c>
      <c r="D132" s="94" t="s">
        <v>1281</v>
      </c>
      <c r="E132" s="95">
        <v>449900</v>
      </c>
    </row>
    <row r="133" spans="1:5" ht="28.05" customHeight="1">
      <c r="A133" s="293"/>
      <c r="B133" s="92" t="s">
        <v>1639</v>
      </c>
      <c r="C133" s="93" t="s">
        <v>1643</v>
      </c>
      <c r="D133" s="94" t="s">
        <v>1647</v>
      </c>
      <c r="E133" s="95">
        <v>599500</v>
      </c>
    </row>
    <row r="134" spans="1:5" ht="28.05" customHeight="1">
      <c r="A134" s="293"/>
      <c r="B134" s="92" t="s">
        <v>1640</v>
      </c>
      <c r="C134" s="93" t="s">
        <v>1644</v>
      </c>
      <c r="D134" s="94" t="s">
        <v>1649</v>
      </c>
      <c r="E134" s="95">
        <v>319000</v>
      </c>
    </row>
    <row r="135" spans="1:5" ht="28.05" customHeight="1">
      <c r="A135" s="293"/>
      <c r="B135" s="92" t="s">
        <v>1641</v>
      </c>
      <c r="C135" s="93" t="s">
        <v>1645</v>
      </c>
      <c r="D135" s="94" t="s">
        <v>1648</v>
      </c>
      <c r="E135" s="95">
        <v>399300</v>
      </c>
    </row>
    <row r="136" spans="1:5" ht="28.05" customHeight="1">
      <c r="A136" s="293"/>
      <c r="B136" s="92" t="s">
        <v>1642</v>
      </c>
      <c r="C136" s="93" t="s">
        <v>1646</v>
      </c>
      <c r="D136" s="94" t="s">
        <v>1650</v>
      </c>
      <c r="E136" s="95">
        <v>499400</v>
      </c>
    </row>
    <row r="137" spans="1:5" ht="28.05" customHeight="1">
      <c r="A137" s="293"/>
      <c r="B137" s="92" t="s">
        <v>778</v>
      </c>
      <c r="C137" s="93" t="s">
        <v>854</v>
      </c>
      <c r="D137" s="94" t="s">
        <v>855</v>
      </c>
      <c r="E137" s="95">
        <v>449900</v>
      </c>
    </row>
    <row r="138" spans="1:5" ht="28.05" customHeight="1">
      <c r="A138" s="293"/>
      <c r="B138" s="92" t="s">
        <v>778</v>
      </c>
      <c r="C138" s="93" t="s">
        <v>1282</v>
      </c>
      <c r="D138" s="94" t="s">
        <v>1283</v>
      </c>
      <c r="E138" s="95">
        <v>396000</v>
      </c>
    </row>
    <row r="139" spans="1:5" ht="28.05" customHeight="1">
      <c r="A139" s="293"/>
      <c r="B139" s="92" t="s">
        <v>785</v>
      </c>
      <c r="C139" s="93" t="s">
        <v>360</v>
      </c>
      <c r="D139" s="94" t="s">
        <v>361</v>
      </c>
      <c r="E139" s="95">
        <v>499400</v>
      </c>
    </row>
    <row r="140" spans="1:5" ht="28.05" customHeight="1">
      <c r="A140" s="294"/>
      <c r="B140" s="92" t="s">
        <v>778</v>
      </c>
      <c r="C140" s="93" t="s">
        <v>704</v>
      </c>
      <c r="D140" s="94" t="s">
        <v>788</v>
      </c>
      <c r="E140" s="95">
        <v>429000</v>
      </c>
    </row>
    <row r="141" spans="1:5" ht="28.05" customHeight="1">
      <c r="A141" s="294"/>
      <c r="B141" s="92" t="s">
        <v>785</v>
      </c>
      <c r="C141" s="93" t="s">
        <v>349</v>
      </c>
      <c r="D141" s="94" t="s">
        <v>350</v>
      </c>
      <c r="E141" s="95">
        <v>399300</v>
      </c>
    </row>
    <row r="142" spans="1:5" ht="28.05" customHeight="1" thickBot="1">
      <c r="A142" s="293"/>
      <c r="B142" s="96"/>
      <c r="C142" s="97"/>
      <c r="D142" s="98"/>
      <c r="E142" s="99"/>
    </row>
    <row r="143" spans="1:5" ht="17.25" customHeight="1" thickBot="1">
      <c r="B143" s="77"/>
      <c r="C143" s="100"/>
      <c r="E143" s="101"/>
    </row>
    <row r="144" spans="1:5" ht="28.05" customHeight="1">
      <c r="B144" s="225" t="s">
        <v>488</v>
      </c>
      <c r="C144" s="226" t="s">
        <v>489</v>
      </c>
      <c r="D144" s="226" t="s">
        <v>486</v>
      </c>
      <c r="E144" s="227" t="s">
        <v>490</v>
      </c>
    </row>
    <row r="145" spans="1:6" ht="28.05" customHeight="1">
      <c r="B145" s="92" t="s">
        <v>483</v>
      </c>
      <c r="C145" s="93" t="s">
        <v>664</v>
      </c>
      <c r="D145" s="94" t="s">
        <v>665</v>
      </c>
      <c r="E145" s="95">
        <v>528000</v>
      </c>
    </row>
    <row r="146" spans="1:6" ht="28.05" customHeight="1">
      <c r="B146" s="92" t="s">
        <v>381</v>
      </c>
      <c r="C146" s="93" t="s">
        <v>1626</v>
      </c>
      <c r="D146" s="94" t="s">
        <v>1627</v>
      </c>
      <c r="E146" s="95">
        <v>349000</v>
      </c>
    </row>
    <row r="147" spans="1:6" ht="28.05" customHeight="1">
      <c r="B147" s="92" t="s">
        <v>381</v>
      </c>
      <c r="C147" s="93" t="s">
        <v>1630</v>
      </c>
      <c r="D147" s="94" t="s">
        <v>1631</v>
      </c>
      <c r="E147" s="95">
        <v>319000</v>
      </c>
    </row>
    <row r="148" spans="1:6" ht="28.05" customHeight="1">
      <c r="B148" s="92" t="s">
        <v>381</v>
      </c>
      <c r="C148" s="93" t="s">
        <v>1628</v>
      </c>
      <c r="D148" s="94" t="s">
        <v>1629</v>
      </c>
      <c r="E148" s="95">
        <v>349800</v>
      </c>
    </row>
    <row r="149" spans="1:6" ht="28.05" customHeight="1">
      <c r="B149" s="92" t="s">
        <v>381</v>
      </c>
      <c r="C149" s="93" t="s">
        <v>1479</v>
      </c>
      <c r="D149" s="94" t="s">
        <v>1480</v>
      </c>
      <c r="E149" s="95">
        <v>319000</v>
      </c>
    </row>
    <row r="150" spans="1:6" ht="28.05" customHeight="1">
      <c r="B150" s="92" t="s">
        <v>381</v>
      </c>
      <c r="C150" s="93" t="s">
        <v>1190</v>
      </c>
      <c r="D150" s="94" t="s">
        <v>1191</v>
      </c>
      <c r="E150" s="95">
        <v>319000</v>
      </c>
    </row>
    <row r="151" spans="1:6" ht="28.05" customHeight="1">
      <c r="B151" s="92" t="s">
        <v>381</v>
      </c>
      <c r="C151" s="93" t="s">
        <v>792</v>
      </c>
      <c r="D151" s="94" t="s">
        <v>793</v>
      </c>
      <c r="E151" s="95">
        <v>396000</v>
      </c>
      <c r="F151" s="291"/>
    </row>
    <row r="152" spans="1:6" ht="28.05" customHeight="1">
      <c r="B152" s="92" t="s">
        <v>381</v>
      </c>
      <c r="C152" s="93" t="s">
        <v>346</v>
      </c>
      <c r="D152" s="94" t="s">
        <v>347</v>
      </c>
      <c r="E152" s="95">
        <v>374000</v>
      </c>
    </row>
    <row r="153" spans="1:6" ht="28.05" customHeight="1">
      <c r="B153" s="92" t="s">
        <v>381</v>
      </c>
      <c r="C153" s="93" t="s">
        <v>358</v>
      </c>
      <c r="D153" s="94" t="s">
        <v>359</v>
      </c>
      <c r="E153" s="95">
        <v>297000</v>
      </c>
    </row>
    <row r="154" spans="1:6" ht="28.05" customHeight="1">
      <c r="B154" s="92" t="s">
        <v>381</v>
      </c>
      <c r="C154" s="93" t="s">
        <v>471</v>
      </c>
      <c r="D154" s="94" t="s">
        <v>472</v>
      </c>
      <c r="E154" s="95">
        <v>308000</v>
      </c>
    </row>
    <row r="155" spans="1:6" ht="28.05" customHeight="1">
      <c r="A155" s="295"/>
      <c r="B155" s="92" t="s">
        <v>794</v>
      </c>
      <c r="C155" s="93" t="s">
        <v>703</v>
      </c>
      <c r="D155" s="94" t="s">
        <v>795</v>
      </c>
      <c r="E155" s="95">
        <v>299200</v>
      </c>
    </row>
    <row r="156" spans="1:6" ht="28.05" customHeight="1">
      <c r="A156" s="295"/>
      <c r="B156" s="92" t="s">
        <v>666</v>
      </c>
      <c r="C156" s="93" t="s">
        <v>463</v>
      </c>
      <c r="D156" s="94" t="s">
        <v>667</v>
      </c>
      <c r="E156" s="95">
        <v>237600</v>
      </c>
    </row>
    <row r="157" spans="1:6" ht="28.05" customHeight="1">
      <c r="A157" s="295"/>
      <c r="B157" s="92" t="s">
        <v>666</v>
      </c>
      <c r="C157" s="93" t="s">
        <v>463</v>
      </c>
      <c r="D157" s="94" t="s">
        <v>668</v>
      </c>
      <c r="E157" s="95">
        <v>237600</v>
      </c>
    </row>
    <row r="158" spans="1:6" ht="28.05" customHeight="1">
      <c r="A158" s="295"/>
      <c r="B158" s="92" t="s">
        <v>789</v>
      </c>
      <c r="C158" s="93" t="s">
        <v>1194</v>
      </c>
      <c r="D158" s="94" t="s">
        <v>1195</v>
      </c>
      <c r="E158" s="95">
        <v>299200</v>
      </c>
    </row>
    <row r="159" spans="1:6" ht="28.05" customHeight="1" thickBot="1">
      <c r="A159" s="295"/>
      <c r="B159" s="96"/>
      <c r="C159" s="97"/>
      <c r="D159" s="98"/>
      <c r="E159" s="99"/>
    </row>
    <row r="160" spans="1:6" ht="28.2" customHeight="1" thickBot="1">
      <c r="B160" s="102"/>
      <c r="C160" s="102"/>
      <c r="D160" s="103"/>
      <c r="E160" s="90">
        <v>3</v>
      </c>
    </row>
    <row r="161" spans="1:5" ht="28.05" customHeight="1">
      <c r="B161" s="225" t="s">
        <v>2</v>
      </c>
      <c r="C161" s="226" t="s">
        <v>329</v>
      </c>
      <c r="D161" s="226" t="s">
        <v>379</v>
      </c>
      <c r="E161" s="227" t="s">
        <v>491</v>
      </c>
    </row>
    <row r="162" spans="1:5" ht="28.05" customHeight="1">
      <c r="A162" s="292"/>
      <c r="B162" s="92" t="s">
        <v>195</v>
      </c>
      <c r="C162" s="93" t="s">
        <v>410</v>
      </c>
      <c r="D162" s="94" t="s">
        <v>411</v>
      </c>
      <c r="E162" s="95">
        <v>429000</v>
      </c>
    </row>
    <row r="163" spans="1:5" ht="28.05" customHeight="1">
      <c r="A163" s="292"/>
      <c r="B163" s="92" t="s">
        <v>195</v>
      </c>
      <c r="C163" s="93" t="s">
        <v>412</v>
      </c>
      <c r="D163" s="94" t="s">
        <v>413</v>
      </c>
      <c r="E163" s="95">
        <v>429000</v>
      </c>
    </row>
    <row r="164" spans="1:5" ht="28.05" customHeight="1">
      <c r="A164" s="292"/>
      <c r="B164" s="92" t="s">
        <v>195</v>
      </c>
      <c r="C164" s="93" t="s">
        <v>414</v>
      </c>
      <c r="D164" s="94" t="s">
        <v>415</v>
      </c>
      <c r="E164" s="95">
        <v>429000</v>
      </c>
    </row>
    <row r="165" spans="1:5" ht="28.05" customHeight="1">
      <c r="A165" s="292"/>
      <c r="B165" s="92" t="s">
        <v>195</v>
      </c>
      <c r="C165" s="93" t="s">
        <v>416</v>
      </c>
      <c r="D165" s="94" t="s">
        <v>417</v>
      </c>
      <c r="E165" s="95">
        <v>468600</v>
      </c>
    </row>
    <row r="166" spans="1:5" ht="28.05" customHeight="1">
      <c r="A166" s="292"/>
      <c r="B166" s="92" t="s">
        <v>195</v>
      </c>
      <c r="C166" s="93" t="s">
        <v>418</v>
      </c>
      <c r="D166" s="94" t="s">
        <v>419</v>
      </c>
      <c r="E166" s="95">
        <v>468600</v>
      </c>
    </row>
    <row r="167" spans="1:5" ht="28.05" customHeight="1">
      <c r="A167" s="292"/>
      <c r="B167" s="92" t="s">
        <v>195</v>
      </c>
      <c r="C167" s="93" t="s">
        <v>420</v>
      </c>
      <c r="D167" s="94" t="s">
        <v>421</v>
      </c>
      <c r="E167" s="95">
        <v>468600</v>
      </c>
    </row>
    <row r="168" spans="1:5" ht="28.05" customHeight="1">
      <c r="A168" s="292"/>
      <c r="B168" s="92" t="s">
        <v>195</v>
      </c>
      <c r="C168" s="93" t="s">
        <v>1284</v>
      </c>
      <c r="D168" s="94" t="s">
        <v>1285</v>
      </c>
      <c r="E168" s="95">
        <v>429000</v>
      </c>
    </row>
    <row r="169" spans="1:5" ht="28.05" customHeight="1">
      <c r="A169" s="292"/>
      <c r="B169" s="92" t="s">
        <v>195</v>
      </c>
      <c r="C169" s="93" t="s">
        <v>1286</v>
      </c>
      <c r="D169" s="94" t="s">
        <v>1287</v>
      </c>
      <c r="E169" s="95">
        <v>429000</v>
      </c>
    </row>
    <row r="170" spans="1:5" ht="28.05" customHeight="1">
      <c r="A170" s="292"/>
      <c r="B170" s="92" t="s">
        <v>195</v>
      </c>
      <c r="C170" s="93" t="s">
        <v>1288</v>
      </c>
      <c r="D170" s="94" t="s">
        <v>1289</v>
      </c>
      <c r="E170" s="95">
        <v>429000</v>
      </c>
    </row>
    <row r="171" spans="1:5" ht="28.05" customHeight="1">
      <c r="A171" s="292"/>
      <c r="B171" s="92" t="s">
        <v>195</v>
      </c>
      <c r="C171" s="93" t="s">
        <v>1290</v>
      </c>
      <c r="D171" s="94" t="s">
        <v>1291</v>
      </c>
      <c r="E171" s="95">
        <v>468600</v>
      </c>
    </row>
    <row r="172" spans="1:5" ht="28.05" customHeight="1">
      <c r="A172" s="292"/>
      <c r="B172" s="92" t="s">
        <v>195</v>
      </c>
      <c r="C172" s="93" t="s">
        <v>1292</v>
      </c>
      <c r="D172" s="94" t="s">
        <v>1293</v>
      </c>
      <c r="E172" s="95">
        <v>468600</v>
      </c>
    </row>
    <row r="173" spans="1:5" ht="28.05" customHeight="1">
      <c r="A173" s="292"/>
      <c r="B173" s="92" t="s">
        <v>195</v>
      </c>
      <c r="C173" s="93" t="s">
        <v>1294</v>
      </c>
      <c r="D173" s="94" t="s">
        <v>1295</v>
      </c>
      <c r="E173" s="95">
        <v>468600</v>
      </c>
    </row>
    <row r="174" spans="1:5" ht="28.05" customHeight="1">
      <c r="A174" s="292"/>
      <c r="B174" s="92" t="s">
        <v>195</v>
      </c>
      <c r="C174" s="93" t="s">
        <v>422</v>
      </c>
      <c r="D174" s="94" t="s">
        <v>423</v>
      </c>
      <c r="E174" s="95">
        <v>748000</v>
      </c>
    </row>
    <row r="175" spans="1:5" ht="28.05" customHeight="1">
      <c r="A175" s="292"/>
      <c r="B175" s="92" t="s">
        <v>195</v>
      </c>
      <c r="C175" s="93" t="s">
        <v>424</v>
      </c>
      <c r="D175" s="94" t="s">
        <v>425</v>
      </c>
      <c r="E175" s="95">
        <v>748000</v>
      </c>
    </row>
    <row r="176" spans="1:5" ht="28.05" customHeight="1">
      <c r="A176" s="292"/>
      <c r="B176" s="92" t="s">
        <v>195</v>
      </c>
      <c r="C176" s="93" t="s">
        <v>426</v>
      </c>
      <c r="D176" s="94" t="s">
        <v>427</v>
      </c>
      <c r="E176" s="95">
        <v>748000</v>
      </c>
    </row>
    <row r="177" spans="1:5" ht="28.05" customHeight="1">
      <c r="A177" s="292"/>
      <c r="B177" s="92" t="s">
        <v>195</v>
      </c>
      <c r="C177" s="93" t="s">
        <v>428</v>
      </c>
      <c r="D177" s="94" t="s">
        <v>429</v>
      </c>
      <c r="E177" s="95">
        <v>748000</v>
      </c>
    </row>
    <row r="178" spans="1:5" ht="28.05" customHeight="1">
      <c r="A178" s="292"/>
      <c r="B178" s="92" t="s">
        <v>195</v>
      </c>
      <c r="C178" s="93" t="s">
        <v>430</v>
      </c>
      <c r="D178" s="94" t="s">
        <v>431</v>
      </c>
      <c r="E178" s="95">
        <v>1067000</v>
      </c>
    </row>
    <row r="179" spans="1:5" ht="28.05" customHeight="1">
      <c r="A179" s="292"/>
      <c r="B179" s="92" t="s">
        <v>195</v>
      </c>
      <c r="C179" s="93" t="s">
        <v>432</v>
      </c>
      <c r="D179" s="94" t="s">
        <v>433</v>
      </c>
      <c r="E179" s="95">
        <v>1067000</v>
      </c>
    </row>
    <row r="180" spans="1:5" ht="28.05" customHeight="1">
      <c r="A180" s="292"/>
      <c r="B180" s="92" t="s">
        <v>195</v>
      </c>
      <c r="C180" s="93" t="s">
        <v>434</v>
      </c>
      <c r="D180" s="94" t="s">
        <v>435</v>
      </c>
      <c r="E180" s="95">
        <v>1067000</v>
      </c>
    </row>
    <row r="181" spans="1:5" ht="28.05" customHeight="1">
      <c r="A181" s="292"/>
      <c r="B181" s="92" t="s">
        <v>195</v>
      </c>
      <c r="C181" s="93" t="s">
        <v>436</v>
      </c>
      <c r="D181" s="94" t="s">
        <v>437</v>
      </c>
      <c r="E181" s="95">
        <v>781000</v>
      </c>
    </row>
    <row r="182" spans="1:5" ht="28.05" customHeight="1">
      <c r="A182" s="292"/>
      <c r="B182" s="92" t="s">
        <v>195</v>
      </c>
      <c r="C182" s="93" t="s">
        <v>438</v>
      </c>
      <c r="D182" s="94" t="s">
        <v>439</v>
      </c>
      <c r="E182" s="95">
        <v>781000</v>
      </c>
    </row>
    <row r="183" spans="1:5" ht="28.05" customHeight="1">
      <c r="A183" s="292"/>
      <c r="B183" s="92" t="s">
        <v>195</v>
      </c>
      <c r="C183" s="93" t="s">
        <v>440</v>
      </c>
      <c r="D183" s="94" t="s">
        <v>441</v>
      </c>
      <c r="E183" s="95">
        <v>781000</v>
      </c>
    </row>
    <row r="184" spans="1:5" ht="28.05" customHeight="1">
      <c r="A184" s="292"/>
      <c r="B184" s="92" t="s">
        <v>195</v>
      </c>
      <c r="C184" s="93" t="s">
        <v>442</v>
      </c>
      <c r="D184" s="94" t="s">
        <v>443</v>
      </c>
      <c r="E184" s="95">
        <v>781000</v>
      </c>
    </row>
    <row r="185" spans="1:5" ht="28.05" customHeight="1">
      <c r="A185" s="292"/>
      <c r="B185" s="92" t="s">
        <v>195</v>
      </c>
      <c r="C185" s="93" t="s">
        <v>444</v>
      </c>
      <c r="D185" s="94" t="s">
        <v>445</v>
      </c>
      <c r="E185" s="95">
        <v>1133000</v>
      </c>
    </row>
    <row r="186" spans="1:5" ht="28.05" customHeight="1">
      <c r="A186" s="292"/>
      <c r="B186" s="92" t="s">
        <v>195</v>
      </c>
      <c r="C186" s="93" t="s">
        <v>446</v>
      </c>
      <c r="D186" s="94" t="s">
        <v>447</v>
      </c>
      <c r="E186" s="95">
        <v>1133000</v>
      </c>
    </row>
    <row r="187" spans="1:5" ht="28.05" customHeight="1">
      <c r="A187" s="292"/>
      <c r="B187" s="92" t="s">
        <v>195</v>
      </c>
      <c r="C187" s="93" t="s">
        <v>448</v>
      </c>
      <c r="D187" s="94" t="s">
        <v>449</v>
      </c>
      <c r="E187" s="95">
        <v>1133000</v>
      </c>
    </row>
    <row r="188" spans="1:5" ht="28.05" customHeight="1">
      <c r="A188" s="292"/>
      <c r="B188" s="92" t="s">
        <v>195</v>
      </c>
      <c r="C188" s="93" t="s">
        <v>450</v>
      </c>
      <c r="D188" s="94" t="s">
        <v>464</v>
      </c>
      <c r="E188" s="95">
        <v>1144000</v>
      </c>
    </row>
    <row r="189" spans="1:5" ht="28.05" customHeight="1">
      <c r="A189" s="292"/>
      <c r="B189" s="92" t="s">
        <v>195</v>
      </c>
      <c r="C189" s="93" t="s">
        <v>465</v>
      </c>
      <c r="D189" s="94" t="s">
        <v>466</v>
      </c>
      <c r="E189" s="95">
        <v>1144000</v>
      </c>
    </row>
    <row r="190" spans="1:5" ht="28.05" customHeight="1">
      <c r="A190" s="292"/>
      <c r="B190" s="92" t="s">
        <v>195</v>
      </c>
      <c r="C190" s="93" t="s">
        <v>1296</v>
      </c>
      <c r="D190" s="94" t="s">
        <v>1297</v>
      </c>
      <c r="E190" s="95">
        <v>748000</v>
      </c>
    </row>
    <row r="191" spans="1:5" ht="28.05" customHeight="1">
      <c r="A191" s="292"/>
      <c r="B191" s="92" t="s">
        <v>195</v>
      </c>
      <c r="C191" s="93" t="s">
        <v>1298</v>
      </c>
      <c r="D191" s="94" t="s">
        <v>1299</v>
      </c>
      <c r="E191" s="95">
        <v>748000</v>
      </c>
    </row>
    <row r="192" spans="1:5" ht="28.05" customHeight="1">
      <c r="A192" s="292"/>
      <c r="B192" s="92" t="s">
        <v>195</v>
      </c>
      <c r="C192" s="93" t="s">
        <v>1300</v>
      </c>
      <c r="D192" s="94" t="s">
        <v>1301</v>
      </c>
      <c r="E192" s="95">
        <v>748000</v>
      </c>
    </row>
    <row r="193" spans="1:5" ht="28.05" customHeight="1">
      <c r="A193" s="292"/>
      <c r="B193" s="92" t="s">
        <v>195</v>
      </c>
      <c r="C193" s="93" t="s">
        <v>1302</v>
      </c>
      <c r="D193" s="94" t="s">
        <v>1303</v>
      </c>
      <c r="E193" s="95">
        <v>748000</v>
      </c>
    </row>
    <row r="194" spans="1:5" ht="28.05" customHeight="1">
      <c r="A194" s="292"/>
      <c r="B194" s="92" t="s">
        <v>195</v>
      </c>
      <c r="C194" s="93" t="s">
        <v>1304</v>
      </c>
      <c r="D194" s="94" t="s">
        <v>1305</v>
      </c>
      <c r="E194" s="95">
        <v>748000</v>
      </c>
    </row>
    <row r="195" spans="1:5" ht="28.05" customHeight="1">
      <c r="A195" s="292"/>
      <c r="B195" s="92" t="s">
        <v>195</v>
      </c>
      <c r="C195" s="93" t="s">
        <v>1306</v>
      </c>
      <c r="D195" s="94" t="s">
        <v>1307</v>
      </c>
      <c r="E195" s="95">
        <v>1067000</v>
      </c>
    </row>
    <row r="196" spans="1:5" ht="28.05" customHeight="1">
      <c r="A196" s="292"/>
      <c r="B196" s="92" t="s">
        <v>195</v>
      </c>
      <c r="C196" s="93" t="s">
        <v>1308</v>
      </c>
      <c r="D196" s="94" t="s">
        <v>1309</v>
      </c>
      <c r="E196" s="95">
        <v>1067000</v>
      </c>
    </row>
    <row r="197" spans="1:5" ht="28.05" customHeight="1">
      <c r="A197" s="292"/>
      <c r="B197" s="92" t="s">
        <v>195</v>
      </c>
      <c r="C197" s="93" t="s">
        <v>1310</v>
      </c>
      <c r="D197" s="94" t="s">
        <v>1311</v>
      </c>
      <c r="E197" s="95">
        <v>1067000</v>
      </c>
    </row>
    <row r="198" spans="1:5" ht="28.05" customHeight="1">
      <c r="A198" s="292"/>
      <c r="B198" s="92" t="s">
        <v>195</v>
      </c>
      <c r="C198" s="93" t="s">
        <v>1312</v>
      </c>
      <c r="D198" s="94" t="s">
        <v>1313</v>
      </c>
      <c r="E198" s="95">
        <v>781000</v>
      </c>
    </row>
    <row r="199" spans="1:5" ht="28.05" customHeight="1">
      <c r="A199" s="292"/>
      <c r="B199" s="92" t="s">
        <v>195</v>
      </c>
      <c r="C199" s="93" t="s">
        <v>1314</v>
      </c>
      <c r="D199" s="94" t="s">
        <v>1315</v>
      </c>
      <c r="E199" s="95">
        <v>781000</v>
      </c>
    </row>
    <row r="200" spans="1:5" ht="28.05" customHeight="1">
      <c r="A200" s="292"/>
      <c r="B200" s="92" t="s">
        <v>195</v>
      </c>
      <c r="C200" s="93" t="s">
        <v>1316</v>
      </c>
      <c r="D200" s="94" t="s">
        <v>1317</v>
      </c>
      <c r="E200" s="95">
        <v>781000</v>
      </c>
    </row>
    <row r="201" spans="1:5" ht="28.05" customHeight="1">
      <c r="B201" s="92" t="s">
        <v>195</v>
      </c>
      <c r="C201" s="93" t="s">
        <v>1318</v>
      </c>
      <c r="D201" s="94" t="s">
        <v>1319</v>
      </c>
      <c r="E201" s="95">
        <v>781000</v>
      </c>
    </row>
    <row r="202" spans="1:5" ht="28.05" customHeight="1">
      <c r="B202" s="92" t="s">
        <v>195</v>
      </c>
      <c r="C202" s="93" t="s">
        <v>1320</v>
      </c>
      <c r="D202" s="94" t="s">
        <v>1321</v>
      </c>
      <c r="E202" s="95">
        <v>781000</v>
      </c>
    </row>
    <row r="203" spans="1:5" ht="28.05" customHeight="1">
      <c r="B203" s="92" t="s">
        <v>195</v>
      </c>
      <c r="C203" s="93" t="s">
        <v>1322</v>
      </c>
      <c r="D203" s="94" t="s">
        <v>1323</v>
      </c>
      <c r="E203" s="95">
        <v>1133000</v>
      </c>
    </row>
    <row r="204" spans="1:5" ht="28.05" customHeight="1">
      <c r="B204" s="92" t="s">
        <v>195</v>
      </c>
      <c r="C204" s="93" t="s">
        <v>1324</v>
      </c>
      <c r="D204" s="94" t="s">
        <v>1325</v>
      </c>
      <c r="E204" s="95">
        <v>1133000</v>
      </c>
    </row>
    <row r="205" spans="1:5" ht="28.05" customHeight="1">
      <c r="B205" s="92" t="s">
        <v>195</v>
      </c>
      <c r="C205" s="93" t="s">
        <v>1326</v>
      </c>
      <c r="D205" s="94" t="s">
        <v>1327</v>
      </c>
      <c r="E205" s="95">
        <v>1133000</v>
      </c>
    </row>
    <row r="206" spans="1:5" ht="28.05" customHeight="1">
      <c r="B206" s="92" t="s">
        <v>195</v>
      </c>
      <c r="C206" s="93" t="s">
        <v>1328</v>
      </c>
      <c r="D206" s="94" t="s">
        <v>1329</v>
      </c>
      <c r="E206" s="95">
        <v>1144000</v>
      </c>
    </row>
    <row r="207" spans="1:5" ht="28.05" customHeight="1">
      <c r="B207" s="92" t="s">
        <v>195</v>
      </c>
      <c r="C207" s="93" t="s">
        <v>1330</v>
      </c>
      <c r="D207" s="94" t="s">
        <v>1331</v>
      </c>
      <c r="E207" s="95">
        <v>1144000</v>
      </c>
    </row>
    <row r="208" spans="1:5" ht="28.05" customHeight="1">
      <c r="B208" s="92" t="s">
        <v>195</v>
      </c>
      <c r="C208" s="93" t="s">
        <v>1332</v>
      </c>
      <c r="D208" s="94" t="s">
        <v>1333</v>
      </c>
      <c r="E208" s="95">
        <v>1144000</v>
      </c>
    </row>
    <row r="209" spans="2:5" ht="28.05" customHeight="1">
      <c r="B209" s="92" t="s">
        <v>195</v>
      </c>
      <c r="C209" s="93" t="s">
        <v>267</v>
      </c>
      <c r="D209" s="94" t="s">
        <v>268</v>
      </c>
      <c r="E209" s="95">
        <v>583000</v>
      </c>
    </row>
    <row r="210" spans="2:5" ht="28.05" customHeight="1">
      <c r="B210" s="92" t="s">
        <v>195</v>
      </c>
      <c r="C210" s="93" t="s">
        <v>269</v>
      </c>
      <c r="D210" s="94" t="s">
        <v>270</v>
      </c>
      <c r="E210" s="95">
        <v>583000</v>
      </c>
    </row>
    <row r="211" spans="2:5" ht="28.05" customHeight="1">
      <c r="B211" s="92" t="s">
        <v>195</v>
      </c>
      <c r="C211" s="93" t="s">
        <v>271</v>
      </c>
      <c r="D211" s="94" t="s">
        <v>272</v>
      </c>
      <c r="E211" s="95">
        <v>627000</v>
      </c>
    </row>
    <row r="212" spans="2:5" ht="28.05" customHeight="1">
      <c r="B212" s="92" t="s">
        <v>195</v>
      </c>
      <c r="C212" s="93" t="s">
        <v>273</v>
      </c>
      <c r="D212" s="94" t="s">
        <v>274</v>
      </c>
      <c r="E212" s="95">
        <v>627000</v>
      </c>
    </row>
    <row r="213" spans="2:5" ht="28.05" customHeight="1">
      <c r="B213" s="92" t="s">
        <v>195</v>
      </c>
      <c r="C213" s="93" t="s">
        <v>275</v>
      </c>
      <c r="D213" s="94" t="s">
        <v>276</v>
      </c>
      <c r="E213" s="95">
        <v>583000</v>
      </c>
    </row>
    <row r="214" spans="2:5" ht="28.05" customHeight="1">
      <c r="B214" s="92" t="s">
        <v>195</v>
      </c>
      <c r="C214" s="93" t="s">
        <v>277</v>
      </c>
      <c r="D214" s="94" t="s">
        <v>278</v>
      </c>
      <c r="E214" s="95">
        <v>583000</v>
      </c>
    </row>
    <row r="215" spans="2:5" ht="28.05" customHeight="1">
      <c r="B215" s="92" t="s">
        <v>195</v>
      </c>
      <c r="C215" s="93" t="s">
        <v>279</v>
      </c>
      <c r="D215" s="94" t="s">
        <v>280</v>
      </c>
      <c r="E215" s="95">
        <v>583000</v>
      </c>
    </row>
    <row r="216" spans="2:5" ht="28.05" customHeight="1">
      <c r="B216" s="92" t="s">
        <v>195</v>
      </c>
      <c r="C216" s="93" t="s">
        <v>281</v>
      </c>
      <c r="D216" s="94" t="s">
        <v>282</v>
      </c>
      <c r="E216" s="95">
        <v>583000</v>
      </c>
    </row>
    <row r="217" spans="2:5" ht="28.05" customHeight="1">
      <c r="B217" s="92" t="s">
        <v>195</v>
      </c>
      <c r="C217" s="93" t="s">
        <v>283</v>
      </c>
      <c r="D217" s="94" t="s">
        <v>284</v>
      </c>
      <c r="E217" s="95">
        <v>583000</v>
      </c>
    </row>
    <row r="218" spans="2:5" ht="28.05" customHeight="1">
      <c r="B218" s="92" t="s">
        <v>195</v>
      </c>
      <c r="C218" s="93" t="s">
        <v>285</v>
      </c>
      <c r="D218" s="94" t="s">
        <v>286</v>
      </c>
      <c r="E218" s="95">
        <v>836000.00000000012</v>
      </c>
    </row>
    <row r="219" spans="2:5" ht="28.05" customHeight="1">
      <c r="B219" s="92" t="s">
        <v>195</v>
      </c>
      <c r="C219" s="93" t="s">
        <v>287</v>
      </c>
      <c r="D219" s="94" t="s">
        <v>288</v>
      </c>
      <c r="E219" s="95">
        <v>836000.00000000012</v>
      </c>
    </row>
    <row r="220" spans="2:5" ht="28.05" customHeight="1">
      <c r="B220" s="92" t="s">
        <v>195</v>
      </c>
      <c r="C220" s="93" t="s">
        <v>289</v>
      </c>
      <c r="D220" s="94" t="s">
        <v>290</v>
      </c>
      <c r="E220" s="95">
        <v>836000.00000000012</v>
      </c>
    </row>
    <row r="221" spans="2:5" ht="28.05" customHeight="1">
      <c r="B221" s="92" t="s">
        <v>195</v>
      </c>
      <c r="C221" s="93" t="s">
        <v>291</v>
      </c>
      <c r="D221" s="94" t="s">
        <v>292</v>
      </c>
      <c r="E221" s="95">
        <v>627000</v>
      </c>
    </row>
    <row r="222" spans="2:5" ht="28.05" customHeight="1">
      <c r="B222" s="92" t="s">
        <v>195</v>
      </c>
      <c r="C222" s="93" t="s">
        <v>293</v>
      </c>
      <c r="D222" s="94" t="s">
        <v>294</v>
      </c>
      <c r="E222" s="95">
        <v>627000</v>
      </c>
    </row>
    <row r="223" spans="2:5" ht="28.05" customHeight="1">
      <c r="B223" s="92" t="s">
        <v>195</v>
      </c>
      <c r="C223" s="93" t="s">
        <v>295</v>
      </c>
      <c r="D223" s="94" t="s">
        <v>296</v>
      </c>
      <c r="E223" s="95">
        <v>627000</v>
      </c>
    </row>
    <row r="224" spans="2:5" ht="28.05" customHeight="1">
      <c r="B224" s="92" t="s">
        <v>195</v>
      </c>
      <c r="C224" s="93" t="s">
        <v>297</v>
      </c>
      <c r="D224" s="94" t="s">
        <v>298</v>
      </c>
      <c r="E224" s="95">
        <v>627000</v>
      </c>
    </row>
    <row r="225" spans="1:6" ht="28.05" customHeight="1">
      <c r="B225" s="92" t="s">
        <v>195</v>
      </c>
      <c r="C225" s="93" t="s">
        <v>299</v>
      </c>
      <c r="D225" s="94" t="s">
        <v>300</v>
      </c>
      <c r="E225" s="95">
        <v>627000</v>
      </c>
    </row>
    <row r="226" spans="1:6" ht="28.05" customHeight="1">
      <c r="B226" s="92" t="s">
        <v>195</v>
      </c>
      <c r="C226" s="93" t="s">
        <v>301</v>
      </c>
      <c r="D226" s="94" t="s">
        <v>302</v>
      </c>
      <c r="E226" s="95">
        <v>891000.00000000012</v>
      </c>
    </row>
    <row r="227" spans="1:6" ht="28.05" customHeight="1">
      <c r="B227" s="92" t="s">
        <v>195</v>
      </c>
      <c r="C227" s="93" t="s">
        <v>303</v>
      </c>
      <c r="D227" s="94" t="s">
        <v>304</v>
      </c>
      <c r="E227" s="95">
        <v>891000.00000000012</v>
      </c>
    </row>
    <row r="228" spans="1:6" ht="28.05" customHeight="1">
      <c r="B228" s="92" t="s">
        <v>195</v>
      </c>
      <c r="C228" s="93" t="s">
        <v>305</v>
      </c>
      <c r="D228" s="94" t="s">
        <v>306</v>
      </c>
      <c r="E228" s="95">
        <v>891000.00000000012</v>
      </c>
    </row>
    <row r="229" spans="1:6" ht="28.05" customHeight="1">
      <c r="B229" s="92" t="s">
        <v>195</v>
      </c>
      <c r="C229" s="93" t="s">
        <v>1334</v>
      </c>
      <c r="D229" s="94" t="s">
        <v>1278</v>
      </c>
      <c r="E229" s="95">
        <v>379500</v>
      </c>
    </row>
    <row r="230" spans="1:6" ht="28.05" customHeight="1">
      <c r="B230" s="92" t="s">
        <v>195</v>
      </c>
      <c r="C230" s="93" t="s">
        <v>1335</v>
      </c>
      <c r="D230" s="94" t="s">
        <v>1279</v>
      </c>
      <c r="E230" s="95">
        <v>419100</v>
      </c>
    </row>
    <row r="231" spans="1:6" ht="28.05" customHeight="1">
      <c r="B231" s="92" t="s">
        <v>195</v>
      </c>
      <c r="C231" s="93" t="s">
        <v>1336</v>
      </c>
      <c r="D231" s="94" t="s">
        <v>1337</v>
      </c>
      <c r="E231" s="95">
        <v>899800</v>
      </c>
      <c r="F231" s="91" t="s">
        <v>1277</v>
      </c>
    </row>
    <row r="232" spans="1:6" ht="28.05" customHeight="1">
      <c r="B232" s="92" t="s">
        <v>195</v>
      </c>
      <c r="C232" s="93" t="s">
        <v>796</v>
      </c>
      <c r="D232" s="94" t="s">
        <v>797</v>
      </c>
      <c r="E232" s="95">
        <v>359700</v>
      </c>
    </row>
    <row r="233" spans="1:6" ht="28.05" customHeight="1">
      <c r="B233" s="92" t="s">
        <v>195</v>
      </c>
      <c r="C233" s="93" t="s">
        <v>798</v>
      </c>
      <c r="D233" s="94" t="s">
        <v>799</v>
      </c>
      <c r="E233" s="95">
        <v>399300</v>
      </c>
    </row>
    <row r="234" spans="1:6" ht="28.05" customHeight="1">
      <c r="A234" s="293"/>
      <c r="B234" s="92" t="s">
        <v>195</v>
      </c>
      <c r="C234" s="93" t="s">
        <v>800</v>
      </c>
      <c r="D234" s="94" t="s">
        <v>801</v>
      </c>
      <c r="E234" s="95">
        <v>459800</v>
      </c>
    </row>
    <row r="235" spans="1:6" ht="28.05" customHeight="1">
      <c r="A235" s="293"/>
      <c r="B235" s="92" t="s">
        <v>195</v>
      </c>
      <c r="C235" s="93" t="s">
        <v>802</v>
      </c>
      <c r="D235" s="94" t="s">
        <v>803</v>
      </c>
      <c r="E235" s="95">
        <v>499400</v>
      </c>
    </row>
    <row r="236" spans="1:6" ht="28.05" customHeight="1">
      <c r="A236" s="293"/>
      <c r="B236" s="92" t="s">
        <v>195</v>
      </c>
      <c r="C236" s="93" t="s">
        <v>370</v>
      </c>
      <c r="D236" s="94" t="s">
        <v>371</v>
      </c>
      <c r="E236" s="95">
        <v>330000</v>
      </c>
    </row>
    <row r="237" spans="1:6" ht="28.05" customHeight="1">
      <c r="A237" s="293"/>
      <c r="B237" s="92" t="s">
        <v>195</v>
      </c>
      <c r="C237" s="93" t="s">
        <v>372</v>
      </c>
      <c r="D237" s="94" t="s">
        <v>373</v>
      </c>
      <c r="E237" s="95">
        <v>363000</v>
      </c>
    </row>
    <row r="238" spans="1:6" ht="28.05" customHeight="1">
      <c r="A238" s="293"/>
      <c r="B238" s="92" t="s">
        <v>195</v>
      </c>
      <c r="C238" s="93" t="s">
        <v>374</v>
      </c>
      <c r="D238" s="94" t="s">
        <v>375</v>
      </c>
      <c r="E238" s="95">
        <v>528000</v>
      </c>
    </row>
    <row r="239" spans="1:6" ht="28.05" customHeight="1">
      <c r="A239" s="293"/>
      <c r="B239" s="92" t="s">
        <v>195</v>
      </c>
      <c r="C239" s="93" t="s">
        <v>376</v>
      </c>
      <c r="D239" s="94" t="s">
        <v>377</v>
      </c>
      <c r="E239" s="95">
        <v>577500</v>
      </c>
    </row>
    <row r="240" spans="1:6" ht="28.05" customHeight="1">
      <c r="A240" s="293"/>
      <c r="B240" s="92" t="s">
        <v>195</v>
      </c>
      <c r="C240" s="93" t="s">
        <v>263</v>
      </c>
      <c r="D240" s="94" t="s">
        <v>264</v>
      </c>
      <c r="E240" s="95">
        <v>330000</v>
      </c>
    </row>
    <row r="241" spans="1:5" ht="28.05" customHeight="1">
      <c r="A241" s="293"/>
      <c r="B241" s="92" t="s">
        <v>195</v>
      </c>
      <c r="C241" s="93" t="s">
        <v>265</v>
      </c>
      <c r="D241" s="94" t="s">
        <v>266</v>
      </c>
      <c r="E241" s="95">
        <v>299200</v>
      </c>
    </row>
    <row r="242" spans="1:5" ht="28.05" customHeight="1">
      <c r="A242" s="293"/>
      <c r="B242" s="92" t="s">
        <v>195</v>
      </c>
      <c r="C242" s="93" t="s">
        <v>230</v>
      </c>
      <c r="D242" s="94" t="s">
        <v>231</v>
      </c>
      <c r="E242" s="95">
        <v>369600</v>
      </c>
    </row>
    <row r="243" spans="1:5" ht="28.05" customHeight="1">
      <c r="A243" s="293"/>
      <c r="B243" s="92" t="s">
        <v>195</v>
      </c>
      <c r="C243" s="93" t="s">
        <v>232</v>
      </c>
      <c r="D243" s="94" t="s">
        <v>233</v>
      </c>
      <c r="E243" s="95">
        <v>339900</v>
      </c>
    </row>
    <row r="244" spans="1:5" ht="28.05" customHeight="1">
      <c r="B244" s="92" t="s">
        <v>195</v>
      </c>
      <c r="C244" s="93" t="s">
        <v>234</v>
      </c>
      <c r="D244" s="94" t="s">
        <v>235</v>
      </c>
      <c r="E244" s="95">
        <v>330000</v>
      </c>
    </row>
    <row r="245" spans="1:5" ht="28.05" customHeight="1" thickBot="1">
      <c r="B245" s="96" t="s">
        <v>195</v>
      </c>
      <c r="C245" s="97" t="s">
        <v>236</v>
      </c>
      <c r="D245" s="98" t="s">
        <v>237</v>
      </c>
      <c r="E245" s="99">
        <v>299200</v>
      </c>
    </row>
    <row r="246" spans="1:5" ht="10.5" customHeight="1"/>
    <row r="247" spans="1:5" ht="28.2" customHeight="1" thickBot="1">
      <c r="B247" s="77" t="s">
        <v>492</v>
      </c>
      <c r="C247" s="100"/>
      <c r="E247" s="101">
        <v>3</v>
      </c>
    </row>
    <row r="248" spans="1:5" ht="28.05" customHeight="1" thickBot="1">
      <c r="B248" s="222" t="s">
        <v>493</v>
      </c>
      <c r="C248" s="223" t="s">
        <v>494</v>
      </c>
      <c r="D248" s="223" t="s">
        <v>495</v>
      </c>
      <c r="E248" s="224" t="s">
        <v>194</v>
      </c>
    </row>
    <row r="249" spans="1:5" ht="28.05" customHeight="1">
      <c r="B249" s="92" t="s">
        <v>381</v>
      </c>
      <c r="C249" s="93" t="s">
        <v>317</v>
      </c>
      <c r="D249" s="94" t="s">
        <v>318</v>
      </c>
      <c r="E249" s="95">
        <v>2350700</v>
      </c>
    </row>
    <row r="250" spans="1:5" ht="28.05" customHeight="1">
      <c r="B250" s="104" t="s">
        <v>381</v>
      </c>
      <c r="C250" s="105" t="s">
        <v>319</v>
      </c>
      <c r="D250" s="94" t="s">
        <v>320</v>
      </c>
      <c r="E250" s="106">
        <v>998800</v>
      </c>
    </row>
    <row r="251" spans="1:5" ht="28.05" customHeight="1">
      <c r="B251" s="92" t="s">
        <v>381</v>
      </c>
      <c r="C251" s="93" t="s">
        <v>804</v>
      </c>
      <c r="D251" s="94" t="s">
        <v>805</v>
      </c>
      <c r="E251" s="95">
        <v>1218800</v>
      </c>
    </row>
    <row r="252" spans="1:5" ht="28.05" customHeight="1">
      <c r="B252" s="92" t="s">
        <v>381</v>
      </c>
      <c r="C252" s="93" t="s">
        <v>806</v>
      </c>
      <c r="D252" s="94" t="s">
        <v>807</v>
      </c>
      <c r="E252" s="95">
        <v>1468500</v>
      </c>
    </row>
    <row r="253" spans="1:5" ht="28.05" customHeight="1">
      <c r="B253" s="92" t="s">
        <v>381</v>
      </c>
      <c r="C253" s="93" t="s">
        <v>808</v>
      </c>
      <c r="D253" s="94" t="s">
        <v>809</v>
      </c>
      <c r="E253" s="95">
        <v>1818300</v>
      </c>
    </row>
    <row r="254" spans="1:5" ht="28.05" customHeight="1">
      <c r="B254" s="92" t="s">
        <v>381</v>
      </c>
      <c r="C254" s="93" t="s">
        <v>810</v>
      </c>
      <c r="D254" s="94" t="s">
        <v>811</v>
      </c>
      <c r="E254" s="95">
        <v>1987700</v>
      </c>
    </row>
    <row r="255" spans="1:5" ht="28.05" customHeight="1">
      <c r="B255" s="92" t="s">
        <v>381</v>
      </c>
      <c r="C255" s="93" t="s">
        <v>1338</v>
      </c>
      <c r="D255" s="94" t="s">
        <v>1339</v>
      </c>
      <c r="E255" s="95">
        <v>418000</v>
      </c>
    </row>
    <row r="256" spans="1:5" ht="28.05" customHeight="1">
      <c r="B256" s="92" t="s">
        <v>381</v>
      </c>
      <c r="C256" s="93" t="s">
        <v>338</v>
      </c>
      <c r="D256" s="94" t="s">
        <v>339</v>
      </c>
      <c r="E256" s="95">
        <v>1989900</v>
      </c>
    </row>
    <row r="257" spans="2:5" ht="28.05" customHeight="1">
      <c r="B257" s="92" t="s">
        <v>381</v>
      </c>
      <c r="C257" s="93" t="s">
        <v>1340</v>
      </c>
      <c r="D257" s="94" t="s">
        <v>1341</v>
      </c>
      <c r="E257" s="95">
        <v>557700</v>
      </c>
    </row>
    <row r="258" spans="2:5" ht="28.05" customHeight="1">
      <c r="B258" s="92" t="s">
        <v>381</v>
      </c>
      <c r="C258" s="93" t="s">
        <v>319</v>
      </c>
      <c r="D258" s="94" t="s">
        <v>320</v>
      </c>
      <c r="E258" s="95">
        <v>998800</v>
      </c>
    </row>
    <row r="259" spans="2:5" ht="28.05" customHeight="1">
      <c r="B259" s="92" t="s">
        <v>483</v>
      </c>
      <c r="C259" s="93" t="s">
        <v>496</v>
      </c>
      <c r="D259" s="94" t="s">
        <v>451</v>
      </c>
      <c r="E259" s="95">
        <v>759000.00000000012</v>
      </c>
    </row>
    <row r="260" spans="2:5" ht="28.05" customHeight="1">
      <c r="B260" s="92" t="s">
        <v>483</v>
      </c>
      <c r="C260" s="93" t="s">
        <v>497</v>
      </c>
      <c r="D260" s="94" t="s">
        <v>452</v>
      </c>
      <c r="E260" s="95">
        <v>979000</v>
      </c>
    </row>
    <row r="261" spans="2:5" ht="28.05" customHeight="1">
      <c r="B261" s="92" t="s">
        <v>483</v>
      </c>
      <c r="C261" s="93" t="s">
        <v>498</v>
      </c>
      <c r="D261" s="94" t="s">
        <v>453</v>
      </c>
      <c r="E261" s="95">
        <v>1485000.0000000002</v>
      </c>
    </row>
    <row r="262" spans="2:5" ht="28.05" customHeight="1">
      <c r="B262" s="92" t="s">
        <v>483</v>
      </c>
      <c r="C262" s="93" t="s">
        <v>499</v>
      </c>
      <c r="D262" s="94" t="s">
        <v>454</v>
      </c>
      <c r="E262" s="95">
        <v>1639000.0000000002</v>
      </c>
    </row>
    <row r="263" spans="2:5" ht="28.05" customHeight="1">
      <c r="B263" s="92" t="s">
        <v>483</v>
      </c>
      <c r="C263" s="93" t="s">
        <v>500</v>
      </c>
      <c r="D263" s="94" t="s">
        <v>455</v>
      </c>
      <c r="E263" s="95">
        <v>1936000.0000000002</v>
      </c>
    </row>
    <row r="264" spans="2:5" ht="28.05" customHeight="1">
      <c r="B264" s="92" t="s">
        <v>483</v>
      </c>
      <c r="C264" s="93" t="s">
        <v>501</v>
      </c>
      <c r="D264" s="94" t="s">
        <v>456</v>
      </c>
      <c r="E264" s="95">
        <v>2530000</v>
      </c>
    </row>
    <row r="265" spans="2:5" ht="28.05" customHeight="1">
      <c r="B265" s="92" t="s">
        <v>483</v>
      </c>
      <c r="C265" s="93" t="s">
        <v>502</v>
      </c>
      <c r="D265" s="94" t="s">
        <v>457</v>
      </c>
      <c r="E265" s="95">
        <v>3135000.0000000005</v>
      </c>
    </row>
    <row r="266" spans="2:5" ht="28.05" customHeight="1">
      <c r="B266" s="92" t="s">
        <v>483</v>
      </c>
      <c r="C266" s="93" t="s">
        <v>503</v>
      </c>
      <c r="D266" s="94" t="s">
        <v>458</v>
      </c>
      <c r="E266" s="95">
        <v>1969000.0000000002</v>
      </c>
    </row>
    <row r="267" spans="2:5" ht="28.05" customHeight="1">
      <c r="B267" s="92" t="s">
        <v>483</v>
      </c>
      <c r="C267" s="93" t="s">
        <v>504</v>
      </c>
      <c r="D267" s="94" t="s">
        <v>459</v>
      </c>
      <c r="E267" s="95">
        <v>2112000</v>
      </c>
    </row>
    <row r="268" spans="2:5" ht="28.05" customHeight="1">
      <c r="B268" s="92" t="s">
        <v>483</v>
      </c>
      <c r="C268" s="93" t="s">
        <v>505</v>
      </c>
      <c r="D268" s="94" t="s">
        <v>460</v>
      </c>
      <c r="E268" s="95">
        <v>2409000</v>
      </c>
    </row>
    <row r="269" spans="2:5" ht="28.05" customHeight="1">
      <c r="B269" s="92" t="s">
        <v>483</v>
      </c>
      <c r="C269" s="93" t="s">
        <v>506</v>
      </c>
      <c r="D269" s="94" t="s">
        <v>461</v>
      </c>
      <c r="E269" s="95">
        <v>3003000.0000000005</v>
      </c>
    </row>
    <row r="270" spans="2:5" ht="28.05" customHeight="1">
      <c r="B270" s="92" t="s">
        <v>483</v>
      </c>
      <c r="C270" s="93" t="s">
        <v>507</v>
      </c>
      <c r="D270" s="94" t="s">
        <v>462</v>
      </c>
      <c r="E270" s="95">
        <v>3597000.0000000005</v>
      </c>
    </row>
    <row r="271" spans="2:5" ht="28.05" customHeight="1">
      <c r="B271" s="92" t="s">
        <v>483</v>
      </c>
      <c r="C271" s="93" t="s">
        <v>812</v>
      </c>
      <c r="D271" s="94" t="s">
        <v>813</v>
      </c>
      <c r="E271" s="95">
        <v>1166000</v>
      </c>
    </row>
    <row r="272" spans="2:5" ht="28.05" customHeight="1">
      <c r="B272" s="92" t="s">
        <v>483</v>
      </c>
      <c r="C272" s="93" t="s">
        <v>814</v>
      </c>
      <c r="D272" s="94" t="s">
        <v>815</v>
      </c>
      <c r="E272" s="95">
        <v>1408000</v>
      </c>
    </row>
    <row r="273" spans="1:5" ht="28.05" customHeight="1">
      <c r="A273" s="293"/>
      <c r="B273" s="92" t="s">
        <v>483</v>
      </c>
      <c r="C273" s="93" t="s">
        <v>816</v>
      </c>
      <c r="D273" s="94" t="s">
        <v>817</v>
      </c>
      <c r="E273" s="95">
        <v>1001000</v>
      </c>
    </row>
    <row r="274" spans="1:5" ht="28.05" customHeight="1">
      <c r="B274" s="92" t="s">
        <v>483</v>
      </c>
      <c r="C274" s="93" t="s">
        <v>818</v>
      </c>
      <c r="D274" s="94" t="s">
        <v>819</v>
      </c>
      <c r="E274" s="95">
        <v>1243000</v>
      </c>
    </row>
    <row r="275" spans="1:5" ht="28.05" customHeight="1">
      <c r="B275" s="92" t="s">
        <v>483</v>
      </c>
      <c r="C275" s="93" t="s">
        <v>311</v>
      </c>
      <c r="D275" s="94" t="s">
        <v>312</v>
      </c>
      <c r="E275" s="95">
        <v>836000</v>
      </c>
    </row>
    <row r="276" spans="1:5" ht="28.05" customHeight="1">
      <c r="B276" s="92" t="s">
        <v>483</v>
      </c>
      <c r="C276" s="93" t="s">
        <v>313</v>
      </c>
      <c r="D276" s="94" t="s">
        <v>314</v>
      </c>
      <c r="E276" s="95">
        <v>1023000</v>
      </c>
    </row>
    <row r="277" spans="1:5" ht="28.05" customHeight="1">
      <c r="B277" s="92" t="s">
        <v>483</v>
      </c>
      <c r="C277" s="93" t="s">
        <v>351</v>
      </c>
      <c r="D277" s="94" t="s">
        <v>352</v>
      </c>
      <c r="E277" s="95">
        <v>979000</v>
      </c>
    </row>
    <row r="278" spans="1:5" ht="28.05" customHeight="1">
      <c r="B278" s="92" t="s">
        <v>483</v>
      </c>
      <c r="C278" s="93" t="s">
        <v>353</v>
      </c>
      <c r="D278" s="94" t="s">
        <v>354</v>
      </c>
      <c r="E278" s="95">
        <v>1178100</v>
      </c>
    </row>
    <row r="279" spans="1:5" ht="28.05" customHeight="1">
      <c r="B279" s="92" t="s">
        <v>483</v>
      </c>
      <c r="C279" s="93" t="s">
        <v>1342</v>
      </c>
      <c r="D279" s="94" t="s">
        <v>1343</v>
      </c>
      <c r="E279" s="95">
        <v>1122000</v>
      </c>
    </row>
    <row r="280" spans="1:5" ht="28.05" customHeight="1">
      <c r="B280" s="92" t="s">
        <v>483</v>
      </c>
      <c r="C280" s="93" t="s">
        <v>1344</v>
      </c>
      <c r="D280" s="94" t="s">
        <v>1345</v>
      </c>
      <c r="E280" s="95">
        <v>1276000</v>
      </c>
    </row>
    <row r="281" spans="1:5" ht="28.05" customHeight="1">
      <c r="B281" s="92" t="s">
        <v>483</v>
      </c>
      <c r="C281" s="93" t="s">
        <v>1346</v>
      </c>
      <c r="D281" s="94" t="s">
        <v>1347</v>
      </c>
      <c r="E281" s="95">
        <v>1573000.0000000002</v>
      </c>
    </row>
    <row r="282" spans="1:5" ht="28.05" customHeight="1">
      <c r="B282" s="92" t="s">
        <v>483</v>
      </c>
      <c r="C282" s="93" t="s">
        <v>1348</v>
      </c>
      <c r="D282" s="94" t="s">
        <v>1349</v>
      </c>
      <c r="E282" s="95">
        <v>1870000.0000000002</v>
      </c>
    </row>
    <row r="283" spans="1:5" ht="28.05" customHeight="1">
      <c r="B283" s="92" t="s">
        <v>483</v>
      </c>
      <c r="C283" s="93" t="s">
        <v>1350</v>
      </c>
      <c r="D283" s="94" t="s">
        <v>1351</v>
      </c>
      <c r="E283" s="95">
        <v>1419000</v>
      </c>
    </row>
    <row r="284" spans="1:5" ht="28.05" customHeight="1">
      <c r="B284" s="92" t="s">
        <v>483</v>
      </c>
      <c r="C284" s="93" t="s">
        <v>1352</v>
      </c>
      <c r="D284" s="94" t="s">
        <v>1353</v>
      </c>
      <c r="E284" s="95">
        <v>1573000.0000000002</v>
      </c>
    </row>
    <row r="285" spans="1:5" ht="28.05" customHeight="1">
      <c r="B285" s="92" t="s">
        <v>483</v>
      </c>
      <c r="C285" s="93" t="s">
        <v>1354</v>
      </c>
      <c r="D285" s="94" t="s">
        <v>1355</v>
      </c>
      <c r="E285" s="95">
        <v>1870000.0000000002</v>
      </c>
    </row>
    <row r="286" spans="1:5" ht="28.05" customHeight="1">
      <c r="B286" s="92" t="s">
        <v>483</v>
      </c>
      <c r="C286" s="93" t="s">
        <v>1356</v>
      </c>
      <c r="D286" s="94" t="s">
        <v>1357</v>
      </c>
      <c r="E286" s="95">
        <v>2178000</v>
      </c>
    </row>
    <row r="287" spans="1:5" ht="28.05" customHeight="1">
      <c r="B287" s="92" t="s">
        <v>483</v>
      </c>
      <c r="C287" s="93" t="s">
        <v>1358</v>
      </c>
      <c r="D287" s="94" t="s">
        <v>1359</v>
      </c>
      <c r="E287" s="95">
        <v>1793000.0000000002</v>
      </c>
    </row>
    <row r="288" spans="1:5" ht="28.05" customHeight="1">
      <c r="B288" s="92" t="s">
        <v>483</v>
      </c>
      <c r="C288" s="93" t="s">
        <v>1360</v>
      </c>
      <c r="D288" s="94" t="s">
        <v>1361</v>
      </c>
      <c r="E288" s="95">
        <v>2090000.0000000002</v>
      </c>
    </row>
    <row r="289" spans="2:16" ht="28.05" customHeight="1">
      <c r="B289" s="92" t="s">
        <v>483</v>
      </c>
      <c r="C289" s="93" t="s">
        <v>1362</v>
      </c>
      <c r="D289" s="94" t="s">
        <v>1363</v>
      </c>
      <c r="E289" s="95">
        <v>2695000</v>
      </c>
    </row>
    <row r="290" spans="2:16" ht="28.05" customHeight="1">
      <c r="B290" s="92" t="s">
        <v>483</v>
      </c>
      <c r="C290" s="93" t="s">
        <v>1364</v>
      </c>
      <c r="D290" s="94" t="s">
        <v>1365</v>
      </c>
      <c r="E290" s="95">
        <v>3289000.0000000005</v>
      </c>
    </row>
    <row r="291" spans="2:16" ht="28.05" customHeight="1">
      <c r="B291" s="92" t="s">
        <v>483</v>
      </c>
      <c r="C291" s="93" t="s">
        <v>1366</v>
      </c>
      <c r="D291" s="94" t="s">
        <v>1367</v>
      </c>
      <c r="E291" s="95">
        <v>2299000</v>
      </c>
    </row>
    <row r="292" spans="2:16" ht="28.05" customHeight="1">
      <c r="B292" s="92" t="s">
        <v>483</v>
      </c>
      <c r="C292" s="93" t="s">
        <v>1368</v>
      </c>
      <c r="D292" s="94" t="s">
        <v>1369</v>
      </c>
      <c r="E292" s="95">
        <v>2596000</v>
      </c>
    </row>
    <row r="293" spans="2:16" ht="28.05" customHeight="1">
      <c r="B293" s="92" t="s">
        <v>483</v>
      </c>
      <c r="C293" s="93" t="s">
        <v>1370</v>
      </c>
      <c r="D293" s="94" t="s">
        <v>1371</v>
      </c>
      <c r="E293" s="95">
        <v>3190000.0000000005</v>
      </c>
    </row>
    <row r="294" spans="2:16" ht="28.05" customHeight="1">
      <c r="B294" s="92" t="s">
        <v>483</v>
      </c>
      <c r="C294" s="93" t="s">
        <v>1372</v>
      </c>
      <c r="D294" s="94" t="s">
        <v>1373</v>
      </c>
      <c r="E294" s="95">
        <v>3795000.0000000005</v>
      </c>
    </row>
    <row r="295" spans="2:16" ht="28.05" customHeight="1">
      <c r="B295" s="92" t="s">
        <v>483</v>
      </c>
      <c r="C295" s="93" t="s">
        <v>1374</v>
      </c>
      <c r="D295" s="94" t="s">
        <v>1375</v>
      </c>
      <c r="E295" s="95">
        <v>2849000</v>
      </c>
    </row>
    <row r="296" spans="2:16" ht="28.05" customHeight="1">
      <c r="B296" s="92" t="s">
        <v>483</v>
      </c>
      <c r="C296" s="93" t="s">
        <v>1376</v>
      </c>
      <c r="D296" s="94" t="s">
        <v>1377</v>
      </c>
      <c r="E296" s="95">
        <v>3443000.0000000005</v>
      </c>
    </row>
    <row r="297" spans="2:16" ht="28.05" customHeight="1">
      <c r="B297" s="92" t="s">
        <v>483</v>
      </c>
      <c r="C297" s="93" t="s">
        <v>1378</v>
      </c>
      <c r="D297" s="94" t="s">
        <v>1379</v>
      </c>
      <c r="E297" s="95">
        <v>3344000.0000000005</v>
      </c>
    </row>
    <row r="298" spans="2:16" ht="28.05" customHeight="1" thickBot="1">
      <c r="B298" s="96" t="s">
        <v>483</v>
      </c>
      <c r="C298" s="97" t="s">
        <v>1380</v>
      </c>
      <c r="D298" s="98" t="s">
        <v>1381</v>
      </c>
      <c r="E298" s="99">
        <v>3949000.0000000005</v>
      </c>
    </row>
    <row r="299" spans="2:16" ht="12" customHeight="1"/>
    <row r="300" spans="2:16" ht="28.2" customHeight="1" thickBot="1">
      <c r="B300" s="77" t="s">
        <v>508</v>
      </c>
      <c r="C300" s="100"/>
      <c r="E300" s="101">
        <v>3</v>
      </c>
      <c r="F300" s="90"/>
      <c r="G300" s="90"/>
      <c r="H300" s="90"/>
      <c r="I300" s="90"/>
      <c r="J300" s="90"/>
      <c r="O300" s="101"/>
    </row>
    <row r="301" spans="2:16" ht="28.05" customHeight="1" thickBot="1">
      <c r="B301" s="222" t="s">
        <v>316</v>
      </c>
      <c r="C301" s="223" t="s">
        <v>820</v>
      </c>
      <c r="D301" s="223" t="s">
        <v>821</v>
      </c>
      <c r="E301" s="224" t="s">
        <v>822</v>
      </c>
      <c r="F301" s="90"/>
      <c r="G301" s="90"/>
      <c r="H301" s="90"/>
      <c r="I301" s="90"/>
      <c r="J301" s="90"/>
      <c r="O301" s="101"/>
    </row>
    <row r="302" spans="2:16" ht="28.05" customHeight="1">
      <c r="B302" s="92" t="s">
        <v>823</v>
      </c>
      <c r="C302" s="93" t="s">
        <v>307</v>
      </c>
      <c r="D302" s="94" t="s">
        <v>308</v>
      </c>
      <c r="E302" s="95">
        <v>605000</v>
      </c>
      <c r="F302" s="90"/>
      <c r="G302" s="90"/>
      <c r="H302" s="90"/>
      <c r="I302" s="90"/>
      <c r="J302" s="90"/>
      <c r="O302" s="101"/>
      <c r="P302" s="218"/>
    </row>
    <row r="303" spans="2:16" ht="28.05" customHeight="1">
      <c r="B303" s="92" t="s">
        <v>823</v>
      </c>
      <c r="C303" s="93" t="s">
        <v>309</v>
      </c>
      <c r="D303" s="94" t="s">
        <v>310</v>
      </c>
      <c r="E303" s="95">
        <v>803000</v>
      </c>
      <c r="F303" s="90"/>
      <c r="G303" s="90"/>
      <c r="H303" s="90"/>
      <c r="I303" s="90"/>
      <c r="J303" s="90"/>
      <c r="O303" s="101"/>
      <c r="P303" s="218"/>
    </row>
    <row r="304" spans="2:16" ht="28.05" customHeight="1">
      <c r="B304" s="92" t="s">
        <v>824</v>
      </c>
      <c r="C304" s="93" t="s">
        <v>196</v>
      </c>
      <c r="D304" s="94" t="s">
        <v>197</v>
      </c>
      <c r="E304" s="95">
        <v>1249600</v>
      </c>
      <c r="F304" s="90"/>
      <c r="G304" s="90"/>
      <c r="H304" s="90"/>
      <c r="I304" s="90"/>
      <c r="J304" s="90"/>
      <c r="O304" s="101"/>
      <c r="P304" s="218"/>
    </row>
    <row r="305" spans="1:16" ht="28.05" customHeight="1">
      <c r="B305" s="92" t="s">
        <v>824</v>
      </c>
      <c r="C305" s="93" t="s">
        <v>210</v>
      </c>
      <c r="D305" s="94" t="s">
        <v>211</v>
      </c>
      <c r="E305" s="95">
        <v>1348600</v>
      </c>
      <c r="F305" s="90"/>
      <c r="G305" s="90"/>
      <c r="H305" s="90"/>
      <c r="I305" s="90"/>
      <c r="J305" s="90"/>
      <c r="O305" s="101"/>
      <c r="P305" s="218"/>
    </row>
    <row r="306" spans="1:16" ht="28.05" customHeight="1">
      <c r="B306" s="92" t="s">
        <v>824</v>
      </c>
      <c r="C306" s="93" t="s">
        <v>206</v>
      </c>
      <c r="D306" s="94" t="s">
        <v>207</v>
      </c>
      <c r="E306" s="95">
        <v>1789700</v>
      </c>
      <c r="F306" s="90"/>
      <c r="G306" s="90"/>
      <c r="H306" s="90"/>
      <c r="I306" s="90"/>
      <c r="J306" s="90"/>
      <c r="O306" s="101"/>
      <c r="P306" s="218"/>
    </row>
    <row r="307" spans="1:16" ht="28.05" customHeight="1">
      <c r="B307" s="92" t="s">
        <v>824</v>
      </c>
      <c r="C307" s="93" t="s">
        <v>208</v>
      </c>
      <c r="D307" s="94" t="s">
        <v>209</v>
      </c>
      <c r="E307" s="95">
        <v>1290300</v>
      </c>
      <c r="F307" s="90"/>
      <c r="G307" s="90"/>
      <c r="H307" s="90"/>
      <c r="I307" s="90"/>
      <c r="J307" s="90"/>
      <c r="O307" s="101"/>
      <c r="P307" s="218"/>
    </row>
    <row r="308" spans="1:16" ht="28.05" customHeight="1">
      <c r="B308" s="92" t="s">
        <v>824</v>
      </c>
      <c r="C308" s="93" t="s">
        <v>227</v>
      </c>
      <c r="D308" s="94" t="s">
        <v>228</v>
      </c>
      <c r="E308" s="95">
        <v>589600</v>
      </c>
      <c r="F308" s="90"/>
      <c r="G308" s="90"/>
      <c r="H308" s="90"/>
      <c r="I308" s="90"/>
      <c r="J308" s="90"/>
      <c r="O308" s="101"/>
      <c r="P308" s="218"/>
    </row>
    <row r="309" spans="1:16" ht="28.05" customHeight="1">
      <c r="B309" s="92" t="s">
        <v>381</v>
      </c>
      <c r="C309" s="93" t="s">
        <v>825</v>
      </c>
      <c r="D309" s="94" t="s">
        <v>826</v>
      </c>
      <c r="E309" s="95">
        <v>638000</v>
      </c>
      <c r="F309" s="90"/>
      <c r="G309" s="90"/>
      <c r="H309" s="90"/>
      <c r="I309" s="90"/>
      <c r="J309" s="90"/>
      <c r="O309" s="101"/>
      <c r="P309" s="218"/>
    </row>
    <row r="310" spans="1:16" ht="28.05" customHeight="1">
      <c r="B310" s="92" t="s">
        <v>381</v>
      </c>
      <c r="C310" s="93" t="s">
        <v>212</v>
      </c>
      <c r="D310" s="94" t="s">
        <v>213</v>
      </c>
      <c r="E310" s="95">
        <v>352000</v>
      </c>
      <c r="F310" s="90"/>
      <c r="G310" s="90"/>
      <c r="H310" s="90"/>
      <c r="I310" s="90"/>
      <c r="J310" s="90"/>
      <c r="O310" s="101"/>
      <c r="P310" s="218"/>
    </row>
    <row r="311" spans="1:16" s="219" customFormat="1" ht="28.05" customHeight="1">
      <c r="A311" s="273"/>
      <c r="B311" s="215" t="s">
        <v>381</v>
      </c>
      <c r="C311" s="216" t="s">
        <v>827</v>
      </c>
      <c r="D311" s="217" t="s">
        <v>828</v>
      </c>
      <c r="E311" s="220">
        <v>390500</v>
      </c>
      <c r="F311" s="90"/>
      <c r="G311" s="90"/>
      <c r="H311" s="90"/>
      <c r="I311" s="90"/>
      <c r="J311" s="90"/>
      <c r="K311" s="91"/>
      <c r="L311" s="91"/>
      <c r="M311" s="91"/>
      <c r="N311" s="1"/>
      <c r="O311" s="101"/>
      <c r="P311" s="221"/>
    </row>
    <row r="312" spans="1:16" ht="28.05" customHeight="1">
      <c r="B312" s="92" t="s">
        <v>381</v>
      </c>
      <c r="C312" s="93" t="s">
        <v>473</v>
      </c>
      <c r="D312" s="94" t="s">
        <v>474</v>
      </c>
      <c r="E312" s="95">
        <v>390500</v>
      </c>
      <c r="F312" s="90"/>
      <c r="G312" s="90"/>
      <c r="H312" s="90"/>
      <c r="I312" s="90"/>
      <c r="J312" s="90"/>
      <c r="O312" s="101"/>
      <c r="P312" s="218"/>
    </row>
    <row r="313" spans="1:16" ht="28.05" customHeight="1">
      <c r="B313" s="92" t="s">
        <v>381</v>
      </c>
      <c r="C313" s="93" t="s">
        <v>475</v>
      </c>
      <c r="D313" s="94" t="s">
        <v>476</v>
      </c>
      <c r="E313" s="95">
        <v>247500</v>
      </c>
      <c r="F313" s="90"/>
      <c r="G313" s="90"/>
      <c r="H313" s="90"/>
      <c r="I313" s="90"/>
      <c r="J313" s="90"/>
      <c r="O313" s="101"/>
      <c r="P313" s="218"/>
    </row>
    <row r="314" spans="1:16" ht="28.05" customHeight="1">
      <c r="B314" s="92" t="s">
        <v>381</v>
      </c>
      <c r="C314" s="93" t="s">
        <v>829</v>
      </c>
      <c r="D314" s="94" t="s">
        <v>830</v>
      </c>
      <c r="E314" s="95">
        <v>209000</v>
      </c>
      <c r="F314" s="90"/>
      <c r="G314" s="90"/>
      <c r="H314" s="90"/>
      <c r="I314" s="90"/>
      <c r="J314" s="90"/>
      <c r="O314" s="101"/>
      <c r="P314" s="218"/>
    </row>
    <row r="315" spans="1:16" ht="28.05" customHeight="1" thickBot="1">
      <c r="B315" s="96" t="s">
        <v>381</v>
      </c>
      <c r="C315" s="97" t="s">
        <v>510</v>
      </c>
      <c r="D315" s="98" t="s">
        <v>511</v>
      </c>
      <c r="E315" s="99">
        <v>352000</v>
      </c>
      <c r="F315" s="90"/>
      <c r="G315" s="90"/>
      <c r="H315" s="90"/>
      <c r="I315" s="90"/>
      <c r="J315" s="90"/>
      <c r="O315" s="101"/>
      <c r="P315" s="218"/>
    </row>
    <row r="316" spans="1:16" ht="12" customHeight="1"/>
    <row r="317" spans="1:16" ht="28.2" customHeight="1" thickBot="1">
      <c r="B317" s="77" t="s">
        <v>512</v>
      </c>
      <c r="C317" s="100"/>
      <c r="E317" s="101">
        <v>3</v>
      </c>
    </row>
    <row r="318" spans="1:16" ht="28.05" customHeight="1">
      <c r="B318" s="225" t="s">
        <v>493</v>
      </c>
      <c r="C318" s="226" t="s">
        <v>513</v>
      </c>
      <c r="D318" s="226" t="s">
        <v>514</v>
      </c>
      <c r="E318" s="227" t="s">
        <v>509</v>
      </c>
    </row>
    <row r="319" spans="1:16" ht="28.05" customHeight="1">
      <c r="B319" s="92" t="s">
        <v>831</v>
      </c>
      <c r="C319" s="93" t="s">
        <v>832</v>
      </c>
      <c r="D319" s="94" t="s">
        <v>833</v>
      </c>
      <c r="E319" s="95">
        <v>264000</v>
      </c>
    </row>
    <row r="320" spans="1:16" ht="28.05" customHeight="1">
      <c r="B320" s="92" t="s">
        <v>515</v>
      </c>
      <c r="C320" s="93" t="s">
        <v>834</v>
      </c>
      <c r="D320" s="94" t="s">
        <v>835</v>
      </c>
      <c r="E320" s="95">
        <v>154000</v>
      </c>
    </row>
    <row r="321" spans="2:5" ht="28.05" customHeight="1">
      <c r="B321" s="92" t="s">
        <v>515</v>
      </c>
      <c r="C321" s="93" t="s">
        <v>467</v>
      </c>
      <c r="D321" s="94" t="s">
        <v>468</v>
      </c>
      <c r="E321" s="95">
        <v>132000</v>
      </c>
    </row>
    <row r="322" spans="2:5" ht="28.05" customHeight="1">
      <c r="B322" s="92" t="s">
        <v>515</v>
      </c>
      <c r="C322" s="93" t="s">
        <v>469</v>
      </c>
      <c r="D322" s="94" t="s">
        <v>470</v>
      </c>
      <c r="E322" s="95">
        <v>99000</v>
      </c>
    </row>
    <row r="323" spans="2:5" ht="28.05" customHeight="1" thickBot="1">
      <c r="B323" s="96" t="s">
        <v>516</v>
      </c>
      <c r="C323" s="97" t="s">
        <v>5</v>
      </c>
      <c r="D323" s="98" t="s">
        <v>517</v>
      </c>
      <c r="E323" s="99">
        <v>33000</v>
      </c>
    </row>
    <row r="324" spans="2:5" ht="9.75" customHeight="1">
      <c r="B324" s="91"/>
      <c r="C324" s="91"/>
      <c r="D324" s="91"/>
      <c r="E324" s="91"/>
    </row>
    <row r="325" spans="2:5" ht="28.2" customHeight="1" thickBot="1">
      <c r="B325" s="77" t="s">
        <v>518</v>
      </c>
      <c r="C325" s="100"/>
      <c r="E325" s="101">
        <v>3</v>
      </c>
    </row>
    <row r="326" spans="2:5" ht="28.05" customHeight="1">
      <c r="B326" s="225" t="s">
        <v>493</v>
      </c>
      <c r="C326" s="226" t="s">
        <v>238</v>
      </c>
      <c r="D326" s="226" t="s">
        <v>514</v>
      </c>
      <c r="E326" s="227" t="s">
        <v>194</v>
      </c>
    </row>
    <row r="327" spans="2:5" ht="28.05" customHeight="1">
      <c r="B327" s="92" t="s">
        <v>836</v>
      </c>
      <c r="C327" s="93" t="s">
        <v>837</v>
      </c>
      <c r="D327" s="94" t="s">
        <v>838</v>
      </c>
      <c r="E327" s="95">
        <v>407000</v>
      </c>
    </row>
    <row r="328" spans="2:5" ht="28.05" customHeight="1" thickBot="1">
      <c r="B328" s="96" t="s">
        <v>519</v>
      </c>
      <c r="C328" s="97" t="s">
        <v>214</v>
      </c>
      <c r="D328" s="98" t="s">
        <v>215</v>
      </c>
      <c r="E328" s="99">
        <v>429000</v>
      </c>
    </row>
    <row r="329" spans="2:5" ht="28.2" customHeight="1"/>
    <row r="330" spans="2:5" ht="28.2" customHeight="1"/>
    <row r="331" spans="2:5" ht="28.2" customHeight="1"/>
    <row r="332" spans="2:5" ht="28.2" customHeight="1"/>
    <row r="333" spans="2:5" ht="28.2" customHeight="1"/>
    <row r="334" spans="2:5" ht="28.2" customHeight="1"/>
    <row r="335" spans="2:5" ht="28.2" customHeight="1"/>
    <row r="336" spans="2:5" ht="28.2" customHeight="1"/>
    <row r="337" ht="28.2" customHeight="1"/>
    <row r="338" ht="28.2" customHeight="1"/>
    <row r="339" ht="28.2" customHeight="1"/>
    <row r="340" ht="28.2" customHeight="1"/>
    <row r="341" ht="28.2" customHeight="1"/>
    <row r="342" ht="28.2" customHeight="1"/>
    <row r="343" ht="28.2" customHeight="1"/>
    <row r="344" ht="28.2" customHeight="1"/>
    <row r="345" ht="28.2" customHeight="1"/>
    <row r="346" ht="28.2" customHeight="1"/>
    <row r="347" ht="28.2" customHeight="1"/>
    <row r="348" ht="28.2" customHeight="1"/>
    <row r="349" ht="28.2" customHeight="1"/>
    <row r="350" ht="28.2" customHeight="1"/>
    <row r="351" ht="28.2" customHeight="1"/>
    <row r="352" ht="28.2" customHeight="1"/>
    <row r="353" ht="28.2" customHeight="1"/>
    <row r="354" ht="28.2" customHeight="1"/>
    <row r="355" ht="28.2" customHeight="1"/>
    <row r="356" ht="28.2" customHeight="1"/>
    <row r="357" ht="28.2" customHeight="1"/>
    <row r="358" ht="28.2" customHeight="1"/>
    <row r="359" ht="28.2" customHeight="1"/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Q89"/>
  <sheetViews>
    <sheetView workbookViewId="0">
      <selection activeCell="L14" sqref="L14"/>
    </sheetView>
  </sheetViews>
  <sheetFormatPr defaultColWidth="9" defaultRowHeight="17.399999999999999"/>
  <cols>
    <col min="2" max="2" width="15.09765625" bestFit="1" customWidth="1"/>
    <col min="3" max="3" width="15.09765625" customWidth="1"/>
    <col min="4" max="4" width="21.296875" bestFit="1" customWidth="1"/>
    <col min="5" max="5" width="35.59765625" bestFit="1" customWidth="1"/>
    <col min="6" max="6" width="21.296875" bestFit="1" customWidth="1"/>
    <col min="16" max="16" width="11.69921875" customWidth="1"/>
  </cols>
  <sheetData>
    <row r="1" spans="2:17">
      <c r="B1" t="s">
        <v>239</v>
      </c>
      <c r="C1" t="s">
        <v>541</v>
      </c>
      <c r="D1" t="s">
        <v>329</v>
      </c>
      <c r="E1" t="s">
        <v>379</v>
      </c>
      <c r="F1" t="s">
        <v>329</v>
      </c>
    </row>
    <row r="2" spans="2:17">
      <c r="B2" t="s">
        <v>203</v>
      </c>
      <c r="D2" t="s">
        <v>1617</v>
      </c>
      <c r="E2" t="s">
        <v>1618</v>
      </c>
      <c r="F2" t="s">
        <v>1616</v>
      </c>
      <c r="H2" t="s">
        <v>217</v>
      </c>
      <c r="I2">
        <v>9</v>
      </c>
      <c r="K2" t="s">
        <v>333</v>
      </c>
      <c r="L2">
        <v>0</v>
      </c>
      <c r="M2">
        <v>0</v>
      </c>
      <c r="P2" t="s">
        <v>522</v>
      </c>
      <c r="Q2">
        <v>80000</v>
      </c>
    </row>
    <row r="3" spans="2:17">
      <c r="B3" t="s">
        <v>241</v>
      </c>
      <c r="C3" t="s">
        <v>218</v>
      </c>
      <c r="D3" t="s">
        <v>1503</v>
      </c>
      <c r="E3" t="s">
        <v>1506</v>
      </c>
      <c r="F3" t="s">
        <v>1503</v>
      </c>
      <c r="H3" t="s">
        <v>240</v>
      </c>
      <c r="I3">
        <v>10</v>
      </c>
      <c r="K3" t="s">
        <v>334</v>
      </c>
      <c r="L3">
        <v>50000</v>
      </c>
      <c r="M3">
        <v>50000</v>
      </c>
      <c r="P3" t="s">
        <v>989</v>
      </c>
      <c r="Q3">
        <v>61000</v>
      </c>
    </row>
    <row r="4" spans="2:17">
      <c r="B4" t="s">
        <v>348</v>
      </c>
      <c r="D4" t="s">
        <v>1504</v>
      </c>
      <c r="E4" t="s">
        <v>1507</v>
      </c>
      <c r="F4" t="s">
        <v>1504</v>
      </c>
      <c r="H4" t="s">
        <v>380</v>
      </c>
      <c r="I4">
        <v>11</v>
      </c>
      <c r="K4" t="s">
        <v>335</v>
      </c>
      <c r="L4">
        <v>100000</v>
      </c>
      <c r="M4">
        <v>100000</v>
      </c>
      <c r="P4" t="s">
        <v>993</v>
      </c>
      <c r="Q4">
        <v>50000</v>
      </c>
    </row>
    <row r="5" spans="2:17">
      <c r="D5" t="s">
        <v>1505</v>
      </c>
      <c r="E5" t="s">
        <v>1508</v>
      </c>
      <c r="F5" t="s">
        <v>1505</v>
      </c>
      <c r="K5" t="s">
        <v>734</v>
      </c>
      <c r="L5">
        <v>150000</v>
      </c>
      <c r="M5">
        <v>150000</v>
      </c>
      <c r="P5" t="s">
        <v>991</v>
      </c>
      <c r="Q5">
        <v>37000</v>
      </c>
    </row>
    <row r="6" spans="2:17">
      <c r="D6" t="s">
        <v>1269</v>
      </c>
      <c r="E6" t="s">
        <v>1271</v>
      </c>
      <c r="F6" t="s">
        <v>1269</v>
      </c>
    </row>
    <row r="7" spans="2:17">
      <c r="D7" t="s">
        <v>1270</v>
      </c>
      <c r="E7" t="s">
        <v>1272</v>
      </c>
      <c r="F7" t="s">
        <v>1270</v>
      </c>
    </row>
    <row r="8" spans="2:17">
      <c r="D8" t="s">
        <v>1619</v>
      </c>
      <c r="E8" t="s">
        <v>1620</v>
      </c>
      <c r="F8" t="s">
        <v>1619</v>
      </c>
    </row>
    <row r="9" spans="2:17">
      <c r="D9" t="s">
        <v>946</v>
      </c>
      <c r="E9" t="s">
        <v>949</v>
      </c>
      <c r="F9" t="s">
        <v>946</v>
      </c>
      <c r="P9" t="s">
        <v>656</v>
      </c>
      <c r="Q9">
        <v>69000</v>
      </c>
    </row>
    <row r="10" spans="2:17">
      <c r="D10" t="s">
        <v>947</v>
      </c>
      <c r="E10" t="s">
        <v>950</v>
      </c>
      <c r="F10" t="s">
        <v>947</v>
      </c>
      <c r="P10" t="s">
        <v>663</v>
      </c>
      <c r="Q10">
        <v>49000</v>
      </c>
    </row>
    <row r="11" spans="2:17">
      <c r="D11" t="s">
        <v>948</v>
      </c>
      <c r="E11" t="s">
        <v>951</v>
      </c>
      <c r="F11" t="s">
        <v>948</v>
      </c>
      <c r="P11" t="s">
        <v>707</v>
      </c>
      <c r="Q11">
        <v>33000</v>
      </c>
    </row>
    <row r="12" spans="2:17">
      <c r="D12" t="s">
        <v>1562</v>
      </c>
      <c r="E12" t="s">
        <v>1563</v>
      </c>
      <c r="F12" t="s">
        <v>1562</v>
      </c>
    </row>
    <row r="13" spans="2:17">
      <c r="D13" t="s">
        <v>1564</v>
      </c>
      <c r="E13" t="s">
        <v>1565</v>
      </c>
      <c r="F13" t="s">
        <v>1564</v>
      </c>
    </row>
    <row r="14" spans="2:17">
      <c r="D14" t="s">
        <v>1566</v>
      </c>
      <c r="E14" t="s">
        <v>1567</v>
      </c>
      <c r="F14" t="s">
        <v>1566</v>
      </c>
    </row>
    <row r="15" spans="2:17">
      <c r="D15" t="s">
        <v>1568</v>
      </c>
      <c r="E15" t="s">
        <v>1569</v>
      </c>
      <c r="F15" t="s">
        <v>1568</v>
      </c>
    </row>
    <row r="16" spans="2:17">
      <c r="D16" t="s">
        <v>1259</v>
      </c>
      <c r="E16" t="s">
        <v>1260</v>
      </c>
      <c r="F16" t="s">
        <v>1259</v>
      </c>
    </row>
    <row r="17" spans="4:10">
      <c r="D17" t="s">
        <v>1263</v>
      </c>
      <c r="E17" t="s">
        <v>1264</v>
      </c>
      <c r="F17" t="s">
        <v>1263</v>
      </c>
    </row>
    <row r="18" spans="4:10">
      <c r="D18" t="s">
        <v>1261</v>
      </c>
      <c r="E18" t="s">
        <v>1262</v>
      </c>
      <c r="F18" t="s">
        <v>1261</v>
      </c>
      <c r="H18" s="214"/>
      <c r="I18" s="214"/>
      <c r="J18" s="214"/>
    </row>
    <row r="19" spans="4:10">
      <c r="D19" t="s">
        <v>727</v>
      </c>
      <c r="E19" t="s">
        <v>728</v>
      </c>
      <c r="F19" t="s">
        <v>727</v>
      </c>
    </row>
    <row r="20" spans="4:10">
      <c r="D20" s="214" t="s">
        <v>730</v>
      </c>
      <c r="E20" s="214" t="s">
        <v>732</v>
      </c>
      <c r="F20" s="214" t="s">
        <v>730</v>
      </c>
    </row>
    <row r="21" spans="4:10">
      <c r="D21" t="s">
        <v>1249</v>
      </c>
      <c r="E21" t="s">
        <v>1251</v>
      </c>
      <c r="F21" t="s">
        <v>1249</v>
      </c>
    </row>
    <row r="22" spans="4:10">
      <c r="D22" t="s">
        <v>850</v>
      </c>
      <c r="E22" t="s">
        <v>853</v>
      </c>
      <c r="F22" t="s">
        <v>850</v>
      </c>
      <c r="H22" s="214"/>
      <c r="I22" s="214"/>
      <c r="J22" s="214"/>
    </row>
    <row r="23" spans="4:10">
      <c r="D23" s="214" t="s">
        <v>362</v>
      </c>
      <c r="E23" s="214" t="s">
        <v>363</v>
      </c>
      <c r="F23" s="214" t="s">
        <v>362</v>
      </c>
      <c r="H23" s="214"/>
      <c r="I23" s="214"/>
      <c r="J23" s="214"/>
    </row>
    <row r="24" spans="4:10">
      <c r="D24" t="s">
        <v>366</v>
      </c>
      <c r="E24" t="s">
        <v>367</v>
      </c>
      <c r="F24" t="s">
        <v>366</v>
      </c>
      <c r="H24" s="214"/>
      <c r="I24" s="214"/>
      <c r="J24" s="214"/>
    </row>
    <row r="25" spans="4:10">
      <c r="D25" t="s">
        <v>1579</v>
      </c>
      <c r="E25" t="s">
        <v>1592</v>
      </c>
      <c r="F25" t="s">
        <v>1579</v>
      </c>
      <c r="H25" s="214"/>
      <c r="I25" s="214"/>
      <c r="J25" s="214"/>
    </row>
    <row r="26" spans="4:10">
      <c r="D26" t="s">
        <v>1581</v>
      </c>
      <c r="E26" t="s">
        <v>1593</v>
      </c>
      <c r="F26" t="s">
        <v>1581</v>
      </c>
      <c r="H26" s="214"/>
      <c r="I26" s="214"/>
      <c r="J26" s="214"/>
    </row>
    <row r="27" spans="4:10">
      <c r="D27" t="s">
        <v>1583</v>
      </c>
      <c r="E27" t="s">
        <v>1589</v>
      </c>
      <c r="F27" t="s">
        <v>1583</v>
      </c>
      <c r="H27" s="214"/>
      <c r="I27" s="214"/>
      <c r="J27" s="214"/>
    </row>
    <row r="28" spans="4:10">
      <c r="D28" t="s">
        <v>1585</v>
      </c>
      <c r="E28" t="s">
        <v>1590</v>
      </c>
      <c r="F28" t="s">
        <v>1585</v>
      </c>
      <c r="H28" s="214"/>
      <c r="I28" s="214"/>
      <c r="J28" s="214"/>
    </row>
    <row r="29" spans="4:10">
      <c r="D29" t="s">
        <v>1587</v>
      </c>
      <c r="E29" t="s">
        <v>1591</v>
      </c>
      <c r="F29" t="s">
        <v>1587</v>
      </c>
      <c r="H29" s="214"/>
      <c r="I29" s="214"/>
      <c r="J29" s="214"/>
    </row>
    <row r="30" spans="4:10">
      <c r="D30" t="s">
        <v>1594</v>
      </c>
      <c r="E30" t="s">
        <v>1600</v>
      </c>
      <c r="F30" t="s">
        <v>1594</v>
      </c>
      <c r="H30" s="214"/>
      <c r="I30" s="214"/>
      <c r="J30" s="214"/>
    </row>
    <row r="31" spans="4:10">
      <c r="D31" t="s">
        <v>1596</v>
      </c>
      <c r="E31" t="s">
        <v>1601</v>
      </c>
      <c r="F31" t="s">
        <v>1596</v>
      </c>
      <c r="H31" s="214"/>
      <c r="I31" s="214"/>
      <c r="J31" s="214"/>
    </row>
    <row r="32" spans="4:10">
      <c r="D32" t="s">
        <v>1598</v>
      </c>
      <c r="E32" t="s">
        <v>1602</v>
      </c>
      <c r="F32" t="s">
        <v>1598</v>
      </c>
      <c r="H32" s="214"/>
      <c r="I32" s="214"/>
      <c r="J32" s="214"/>
    </row>
    <row r="33" spans="4:10">
      <c r="D33" t="s">
        <v>1607</v>
      </c>
      <c r="E33" t="s">
        <v>1603</v>
      </c>
      <c r="F33" t="s">
        <v>1607</v>
      </c>
      <c r="H33" s="214"/>
      <c r="I33" s="214"/>
      <c r="J33" s="214"/>
    </row>
    <row r="34" spans="4:10">
      <c r="D34" t="s">
        <v>1609</v>
      </c>
      <c r="E34" t="s">
        <v>1604</v>
      </c>
      <c r="F34" t="s">
        <v>1609</v>
      </c>
      <c r="H34" s="214"/>
      <c r="I34" s="214"/>
      <c r="J34" s="214"/>
    </row>
    <row r="35" spans="4:10">
      <c r="D35" t="s">
        <v>1611</v>
      </c>
      <c r="E35" t="s">
        <v>1605</v>
      </c>
      <c r="F35" t="s">
        <v>1611</v>
      </c>
    </row>
    <row r="36" spans="4:10">
      <c r="D36" t="s">
        <v>1613</v>
      </c>
      <c r="E36" t="s">
        <v>1606</v>
      </c>
      <c r="F36" t="s">
        <v>1613</v>
      </c>
    </row>
    <row r="37" spans="4:10">
      <c r="D37" t="s">
        <v>1509</v>
      </c>
      <c r="E37" t="s">
        <v>1515</v>
      </c>
      <c r="F37" t="s">
        <v>1509</v>
      </c>
    </row>
    <row r="38" spans="4:10">
      <c r="D38" t="s">
        <v>1511</v>
      </c>
      <c r="E38" t="s">
        <v>1517</v>
      </c>
      <c r="F38" t="s">
        <v>1511</v>
      </c>
    </row>
    <row r="39" spans="4:10">
      <c r="D39" t="s">
        <v>1513</v>
      </c>
      <c r="E39" t="s">
        <v>1519</v>
      </c>
      <c r="F39" t="s">
        <v>1513</v>
      </c>
    </row>
    <row r="40" spans="4:10">
      <c r="D40" t="s">
        <v>1398</v>
      </c>
      <c r="E40" t="s">
        <v>1417</v>
      </c>
      <c r="F40" t="s">
        <v>1398</v>
      </c>
    </row>
    <row r="41" spans="4:10">
      <c r="D41" t="s">
        <v>1400</v>
      </c>
      <c r="E41" t="s">
        <v>1418</v>
      </c>
      <c r="F41" t="s">
        <v>1400</v>
      </c>
    </row>
    <row r="42" spans="4:10">
      <c r="D42" t="s">
        <v>1402</v>
      </c>
      <c r="E42" t="s">
        <v>1419</v>
      </c>
      <c r="F42" t="s">
        <v>1402</v>
      </c>
    </row>
    <row r="43" spans="4:10">
      <c r="D43" t="s">
        <v>1404</v>
      </c>
      <c r="E43" t="s">
        <v>1420</v>
      </c>
      <c r="F43" t="s">
        <v>1404</v>
      </c>
    </row>
    <row r="44" spans="4:10">
      <c r="D44" t="s">
        <v>1406</v>
      </c>
      <c r="E44" t="s">
        <v>1421</v>
      </c>
      <c r="F44" t="s">
        <v>1406</v>
      </c>
    </row>
    <row r="45" spans="4:10">
      <c r="D45" t="s">
        <v>1408</v>
      </c>
      <c r="E45" t="s">
        <v>1422</v>
      </c>
      <c r="F45" t="s">
        <v>1408</v>
      </c>
    </row>
    <row r="46" spans="4:10">
      <c r="D46" t="s">
        <v>1410</v>
      </c>
      <c r="E46" t="s">
        <v>1423</v>
      </c>
      <c r="F46" t="s">
        <v>1410</v>
      </c>
    </row>
    <row r="47" spans="4:10">
      <c r="D47" t="s">
        <v>1411</v>
      </c>
      <c r="E47" t="s">
        <v>1424</v>
      </c>
      <c r="F47" t="s">
        <v>1411</v>
      </c>
    </row>
    <row r="48" spans="4:10">
      <c r="D48" t="s">
        <v>1412</v>
      </c>
      <c r="E48" t="s">
        <v>1425</v>
      </c>
      <c r="F48" t="s">
        <v>1412</v>
      </c>
    </row>
    <row r="49" spans="4:6">
      <c r="D49" t="s">
        <v>1477</v>
      </c>
      <c r="E49" t="s">
        <v>1478</v>
      </c>
      <c r="F49" t="s">
        <v>1477</v>
      </c>
    </row>
    <row r="50" spans="4:6">
      <c r="D50" t="s">
        <v>1413</v>
      </c>
      <c r="E50" t="s">
        <v>1427</v>
      </c>
      <c r="F50" t="s">
        <v>1413</v>
      </c>
    </row>
    <row r="51" spans="4:6">
      <c r="D51" t="s">
        <v>1414</v>
      </c>
      <c r="E51" t="s">
        <v>1428</v>
      </c>
      <c r="F51" t="s">
        <v>1414</v>
      </c>
    </row>
    <row r="52" spans="4:6">
      <c r="D52" s="214" t="s">
        <v>735</v>
      </c>
      <c r="E52" s="214" t="s">
        <v>736</v>
      </c>
      <c r="F52" s="214" t="s">
        <v>735</v>
      </c>
    </row>
    <row r="53" spans="4:6">
      <c r="D53" s="214" t="s">
        <v>737</v>
      </c>
      <c r="E53" s="214" t="s">
        <v>738</v>
      </c>
      <c r="F53" s="214" t="s">
        <v>737</v>
      </c>
    </row>
    <row r="54" spans="4:6">
      <c r="D54" s="214" t="s">
        <v>739</v>
      </c>
      <c r="E54" s="214" t="s">
        <v>740</v>
      </c>
      <c r="F54" s="214" t="s">
        <v>739</v>
      </c>
    </row>
    <row r="55" spans="4:6">
      <c r="D55" s="214" t="s">
        <v>741</v>
      </c>
      <c r="E55" s="214" t="s">
        <v>742</v>
      </c>
      <c r="F55" s="214" t="s">
        <v>741</v>
      </c>
    </row>
    <row r="56" spans="4:6">
      <c r="D56" s="214" t="s">
        <v>743</v>
      </c>
      <c r="E56" s="214" t="s">
        <v>744</v>
      </c>
      <c r="F56" s="214" t="s">
        <v>743</v>
      </c>
    </row>
    <row r="57" spans="4:6">
      <c r="D57" s="214" t="s">
        <v>745</v>
      </c>
      <c r="E57" s="214" t="s">
        <v>746</v>
      </c>
      <c r="F57" s="214" t="s">
        <v>745</v>
      </c>
    </row>
    <row r="58" spans="4:6">
      <c r="D58" s="214" t="s">
        <v>747</v>
      </c>
      <c r="E58" s="214" t="s">
        <v>748</v>
      </c>
      <c r="F58" s="214" t="s">
        <v>747</v>
      </c>
    </row>
    <row r="59" spans="4:6">
      <c r="D59" s="214" t="s">
        <v>749</v>
      </c>
      <c r="E59" s="214" t="s">
        <v>750</v>
      </c>
      <c r="F59" s="214" t="s">
        <v>749</v>
      </c>
    </row>
    <row r="60" spans="4:6">
      <c r="D60" s="214" t="s">
        <v>751</v>
      </c>
      <c r="E60" s="214" t="s">
        <v>752</v>
      </c>
      <c r="F60" s="214" t="s">
        <v>751</v>
      </c>
    </row>
    <row r="61" spans="4:6">
      <c r="D61" s="214" t="s">
        <v>755</v>
      </c>
      <c r="E61" s="214" t="s">
        <v>756</v>
      </c>
      <c r="F61" s="214" t="s">
        <v>755</v>
      </c>
    </row>
    <row r="62" spans="4:6">
      <c r="D62" s="214" t="s">
        <v>757</v>
      </c>
      <c r="E62" s="214" t="s">
        <v>758</v>
      </c>
      <c r="F62" s="214" t="s">
        <v>757</v>
      </c>
    </row>
    <row r="63" spans="4:6">
      <c r="D63" s="214" t="s">
        <v>759</v>
      </c>
      <c r="E63" s="214" t="s">
        <v>760</v>
      </c>
      <c r="F63" s="214" t="s">
        <v>759</v>
      </c>
    </row>
    <row r="64" spans="4:6">
      <c r="D64" t="s">
        <v>524</v>
      </c>
      <c r="E64" t="s">
        <v>396</v>
      </c>
      <c r="F64" t="s">
        <v>382</v>
      </c>
    </row>
    <row r="65" spans="4:6">
      <c r="D65" t="s">
        <v>525</v>
      </c>
      <c r="E65" t="s">
        <v>397</v>
      </c>
      <c r="F65" t="s">
        <v>383</v>
      </c>
    </row>
    <row r="66" spans="4:6">
      <c r="D66" t="s">
        <v>526</v>
      </c>
      <c r="E66" t="s">
        <v>398</v>
      </c>
      <c r="F66" t="s">
        <v>384</v>
      </c>
    </row>
    <row r="67" spans="4:6">
      <c r="D67" t="s">
        <v>527</v>
      </c>
      <c r="E67" t="s">
        <v>399</v>
      </c>
      <c r="F67" t="s">
        <v>385</v>
      </c>
    </row>
    <row r="68" spans="4:6">
      <c r="D68" t="s">
        <v>528</v>
      </c>
      <c r="E68" t="s">
        <v>400</v>
      </c>
      <c r="F68" t="s">
        <v>386</v>
      </c>
    </row>
    <row r="69" spans="4:6">
      <c r="D69" t="s">
        <v>529</v>
      </c>
      <c r="E69" t="s">
        <v>401</v>
      </c>
      <c r="F69" t="s">
        <v>387</v>
      </c>
    </row>
    <row r="70" spans="4:6">
      <c r="D70" t="s">
        <v>530</v>
      </c>
      <c r="E70" t="s">
        <v>402</v>
      </c>
      <c r="F70" t="s">
        <v>388</v>
      </c>
    </row>
    <row r="71" spans="4:6">
      <c r="D71" t="s">
        <v>533</v>
      </c>
      <c r="E71" t="s">
        <v>403</v>
      </c>
      <c r="F71" t="s">
        <v>389</v>
      </c>
    </row>
    <row r="72" spans="4:6">
      <c r="D72" t="s">
        <v>531</v>
      </c>
      <c r="E72" t="s">
        <v>404</v>
      </c>
      <c r="F72" t="s">
        <v>390</v>
      </c>
    </row>
    <row r="73" spans="4:6">
      <c r="D73" t="s">
        <v>532</v>
      </c>
      <c r="E73" t="s">
        <v>406</v>
      </c>
      <c r="F73" t="s">
        <v>392</v>
      </c>
    </row>
    <row r="74" spans="4:6">
      <c r="D74" t="s">
        <v>534</v>
      </c>
      <c r="E74" t="s">
        <v>407</v>
      </c>
      <c r="F74" t="s">
        <v>393</v>
      </c>
    </row>
    <row r="75" spans="4:6">
      <c r="D75" t="s">
        <v>535</v>
      </c>
      <c r="E75" t="s">
        <v>408</v>
      </c>
      <c r="F75" t="s">
        <v>394</v>
      </c>
    </row>
    <row r="76" spans="4:6">
      <c r="D76" s="214" t="s">
        <v>340</v>
      </c>
      <c r="E76" s="214" t="s">
        <v>341</v>
      </c>
      <c r="F76" s="214" t="s">
        <v>340</v>
      </c>
    </row>
    <row r="77" spans="4:6">
      <c r="D77" s="214" t="s">
        <v>342</v>
      </c>
      <c r="E77" s="214" t="s">
        <v>343</v>
      </c>
      <c r="F77" s="214" t="s">
        <v>342</v>
      </c>
    </row>
    <row r="78" spans="4:6">
      <c r="D78" s="214" t="s">
        <v>344</v>
      </c>
      <c r="E78" s="214" t="s">
        <v>345</v>
      </c>
      <c r="F78" s="214" t="s">
        <v>344</v>
      </c>
    </row>
    <row r="79" spans="4:6">
      <c r="D79" t="s">
        <v>856</v>
      </c>
      <c r="E79" t="s">
        <v>857</v>
      </c>
      <c r="F79" t="s">
        <v>856</v>
      </c>
    </row>
    <row r="80" spans="4:6">
      <c r="D80" t="s">
        <v>709</v>
      </c>
      <c r="E80" t="s">
        <v>711</v>
      </c>
      <c r="F80" t="s">
        <v>710</v>
      </c>
    </row>
    <row r="81" spans="4:6">
      <c r="D81" t="s">
        <v>346</v>
      </c>
      <c r="E81" t="s">
        <v>347</v>
      </c>
      <c r="F81" t="s">
        <v>346</v>
      </c>
    </row>
    <row r="82" spans="4:6">
      <c r="D82" t="s">
        <v>1481</v>
      </c>
      <c r="E82" t="s">
        <v>1482</v>
      </c>
      <c r="F82" t="s">
        <v>1483</v>
      </c>
    </row>
    <row r="83" spans="4:6">
      <c r="D83" t="s">
        <v>199</v>
      </c>
      <c r="E83" t="s">
        <v>205</v>
      </c>
      <c r="F83" t="s">
        <v>199</v>
      </c>
    </row>
    <row r="84" spans="4:6">
      <c r="D84" t="s">
        <v>243</v>
      </c>
      <c r="E84" t="s">
        <v>244</v>
      </c>
      <c r="F84" t="s">
        <v>243</v>
      </c>
    </row>
    <row r="85" spans="4:6">
      <c r="D85" t="s">
        <v>848</v>
      </c>
      <c r="E85" t="s">
        <v>849</v>
      </c>
      <c r="F85" t="s">
        <v>846</v>
      </c>
    </row>
    <row r="86" spans="4:6">
      <c r="D86" t="s">
        <v>360</v>
      </c>
      <c r="E86" t="s">
        <v>361</v>
      </c>
      <c r="F86" t="s">
        <v>360</v>
      </c>
    </row>
    <row r="87" spans="4:6">
      <c r="D87" t="s">
        <v>702</v>
      </c>
      <c r="E87" t="s">
        <v>705</v>
      </c>
      <c r="F87" t="s">
        <v>702</v>
      </c>
    </row>
    <row r="88" spans="4:6">
      <c r="D88" t="s">
        <v>1257</v>
      </c>
      <c r="E88" t="s">
        <v>1258</v>
      </c>
      <c r="F88" t="s">
        <v>1254</v>
      </c>
    </row>
    <row r="89" spans="4:6">
      <c r="D89" t="s">
        <v>336</v>
      </c>
      <c r="E89" t="s">
        <v>337</v>
      </c>
      <c r="F89" t="s">
        <v>336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2"/>
  <dimension ref="A1:BD51"/>
  <sheetViews>
    <sheetView topLeftCell="AA1" workbookViewId="0">
      <selection activeCell="R109" sqref="R109"/>
    </sheetView>
  </sheetViews>
  <sheetFormatPr defaultColWidth="8.69921875" defaultRowHeight="13.2" customHeight="1"/>
  <cols>
    <col min="2" max="2" width="21.19921875" customWidth="1"/>
    <col min="3" max="14" width="4.19921875" customWidth="1"/>
    <col min="15" max="16" width="8.69921875" customWidth="1"/>
    <col min="17" max="18" width="9.19921875" customWidth="1"/>
    <col min="19" max="20" width="8.69921875" customWidth="1"/>
    <col min="21" max="23" width="9.19921875" customWidth="1"/>
    <col min="24" max="24" width="8.69921875" customWidth="1"/>
    <col min="25" max="38" width="9.19921875" customWidth="1"/>
    <col min="39" max="39" width="4.296875" customWidth="1"/>
    <col min="40" max="40" width="5.5" bestFit="1" customWidth="1"/>
    <col min="41" max="42" width="5" bestFit="1" customWidth="1"/>
    <col min="43" max="43" width="5.5" bestFit="1" customWidth="1"/>
    <col min="44" max="45" width="5" bestFit="1" customWidth="1"/>
    <col min="46" max="46" width="5.5" bestFit="1" customWidth="1"/>
    <col min="47" max="48" width="5" bestFit="1" customWidth="1"/>
    <col min="49" max="49" width="5.5" bestFit="1" customWidth="1"/>
    <col min="50" max="51" width="5" bestFit="1" customWidth="1"/>
    <col min="52" max="52" width="5.5" bestFit="1" customWidth="1"/>
    <col min="53" max="54" width="5" bestFit="1" customWidth="1"/>
    <col min="55" max="55" width="5.5" bestFit="1" customWidth="1"/>
    <col min="56" max="56" width="5" bestFit="1" customWidth="1"/>
  </cols>
  <sheetData>
    <row r="1" spans="1:56" ht="13.2" customHeight="1" thickBot="1">
      <c r="B1" t="s">
        <v>174</v>
      </c>
      <c r="C1" t="s">
        <v>175</v>
      </c>
      <c r="P1" t="s">
        <v>176</v>
      </c>
      <c r="T1" t="s">
        <v>177</v>
      </c>
      <c r="X1" t="s">
        <v>177</v>
      </c>
      <c r="AB1" t="s">
        <v>182</v>
      </c>
      <c r="AI1" t="s">
        <v>183</v>
      </c>
      <c r="AM1" t="s">
        <v>192</v>
      </c>
    </row>
    <row r="2" spans="1:56" ht="13.2" customHeight="1">
      <c r="B2" s="413" t="s">
        <v>6</v>
      </c>
      <c r="C2" s="416" t="s">
        <v>184</v>
      </c>
      <c r="D2" s="396"/>
      <c r="E2" s="397"/>
      <c r="F2" s="401" t="s">
        <v>185</v>
      </c>
      <c r="G2" s="396"/>
      <c r="H2" s="397"/>
      <c r="I2" s="401" t="s">
        <v>187</v>
      </c>
      <c r="J2" s="396"/>
      <c r="K2" s="397"/>
      <c r="L2" s="401" t="s">
        <v>188</v>
      </c>
      <c r="M2" s="396"/>
      <c r="N2" s="397"/>
      <c r="P2" s="396" t="s">
        <v>168</v>
      </c>
      <c r="Q2" s="396"/>
      <c r="R2" s="397"/>
      <c r="T2" s="401" t="s">
        <v>168</v>
      </c>
      <c r="U2" s="396"/>
      <c r="V2" s="397"/>
      <c r="W2" s="43"/>
      <c r="X2" s="406" t="s">
        <v>178</v>
      </c>
      <c r="Y2" s="406"/>
      <c r="Z2" s="407"/>
      <c r="AA2" s="43"/>
      <c r="AB2" s="401" t="s">
        <v>179</v>
      </c>
      <c r="AC2" s="396"/>
      <c r="AD2" s="397"/>
      <c r="AE2" s="401" t="s">
        <v>181</v>
      </c>
      <c r="AF2" s="396"/>
      <c r="AG2" s="397"/>
      <c r="AH2" s="43"/>
      <c r="AI2" s="401" t="s">
        <v>181</v>
      </c>
      <c r="AJ2" s="396"/>
      <c r="AK2" s="397"/>
      <c r="AL2" s="43"/>
      <c r="AM2" s="403" t="s">
        <v>184</v>
      </c>
      <c r="AN2" s="396"/>
      <c r="AO2" s="404"/>
      <c r="AP2" s="401" t="s">
        <v>185</v>
      </c>
      <c r="AQ2" s="396"/>
      <c r="AR2" s="397"/>
      <c r="AS2" s="395" t="s">
        <v>186</v>
      </c>
      <c r="AT2" s="396"/>
      <c r="AU2" s="397"/>
      <c r="AV2" s="401" t="s">
        <v>187</v>
      </c>
      <c r="AW2" s="396"/>
      <c r="AX2" s="397"/>
      <c r="AY2" s="395" t="s">
        <v>188</v>
      </c>
      <c r="AZ2" s="396"/>
      <c r="BA2" s="397"/>
      <c r="BB2" s="395" t="s">
        <v>189</v>
      </c>
      <c r="BC2" s="396"/>
      <c r="BD2" s="397"/>
    </row>
    <row r="3" spans="1:56" ht="13.2" customHeight="1" thickBot="1">
      <c r="B3" s="414"/>
      <c r="C3" s="402"/>
      <c r="D3" s="399"/>
      <c r="E3" s="400"/>
      <c r="F3" s="402"/>
      <c r="G3" s="399"/>
      <c r="H3" s="400"/>
      <c r="I3" s="402"/>
      <c r="J3" s="399"/>
      <c r="K3" s="400"/>
      <c r="L3" s="402"/>
      <c r="M3" s="399"/>
      <c r="N3" s="400"/>
      <c r="P3" s="399"/>
      <c r="Q3" s="399"/>
      <c r="R3" s="400"/>
      <c r="T3" s="410"/>
      <c r="U3" s="411"/>
      <c r="V3" s="412"/>
      <c r="W3" s="43"/>
      <c r="X3" s="408"/>
      <c r="Y3" s="408"/>
      <c r="Z3" s="409"/>
      <c r="AA3" s="43"/>
      <c r="AB3" s="410"/>
      <c r="AC3" s="411"/>
      <c r="AD3" s="412"/>
      <c r="AE3" s="410"/>
      <c r="AF3" s="411"/>
      <c r="AG3" s="412"/>
      <c r="AH3" s="43"/>
      <c r="AI3" s="410"/>
      <c r="AJ3" s="411"/>
      <c r="AK3" s="412"/>
      <c r="AL3" s="43"/>
      <c r="AM3" s="399"/>
      <c r="AN3" s="399"/>
      <c r="AO3" s="405"/>
      <c r="AP3" s="402"/>
      <c r="AQ3" s="399"/>
      <c r="AR3" s="400"/>
      <c r="AS3" s="398"/>
      <c r="AT3" s="399"/>
      <c r="AU3" s="400"/>
      <c r="AV3" s="402"/>
      <c r="AW3" s="399"/>
      <c r="AX3" s="400"/>
      <c r="AY3" s="398"/>
      <c r="AZ3" s="399"/>
      <c r="BA3" s="400"/>
      <c r="BB3" s="398"/>
      <c r="BC3" s="399"/>
      <c r="BD3" s="400"/>
    </row>
    <row r="4" spans="1:56" ht="13.2" customHeight="1" thickBot="1">
      <c r="B4" s="415"/>
      <c r="C4" s="56" t="s">
        <v>145</v>
      </c>
      <c r="D4" s="45" t="s">
        <v>146</v>
      </c>
      <c r="E4" s="57" t="s">
        <v>163</v>
      </c>
      <c r="F4" s="50" t="s">
        <v>145</v>
      </c>
      <c r="G4" s="46" t="s">
        <v>146</v>
      </c>
      <c r="H4" s="47" t="s">
        <v>163</v>
      </c>
      <c r="I4" s="50" t="s">
        <v>145</v>
      </c>
      <c r="J4" s="46" t="s">
        <v>146</v>
      </c>
      <c r="K4" s="47" t="s">
        <v>163</v>
      </c>
      <c r="L4" s="50" t="s">
        <v>145</v>
      </c>
      <c r="M4" s="46" t="s">
        <v>146</v>
      </c>
      <c r="N4" s="47" t="s">
        <v>163</v>
      </c>
      <c r="P4" s="40" t="s">
        <v>145</v>
      </c>
      <c r="Q4" s="40" t="s">
        <v>146</v>
      </c>
      <c r="R4" s="41" t="s">
        <v>163</v>
      </c>
      <c r="T4" s="44" t="s">
        <v>145</v>
      </c>
      <c r="U4" s="44" t="s">
        <v>146</v>
      </c>
      <c r="V4" s="44" t="s">
        <v>163</v>
      </c>
      <c r="W4" s="43"/>
      <c r="X4" s="40" t="s">
        <v>145</v>
      </c>
      <c r="Y4" s="40" t="s">
        <v>146</v>
      </c>
      <c r="Z4" s="41" t="s">
        <v>163</v>
      </c>
      <c r="AA4" s="43"/>
      <c r="AB4" s="44" t="s">
        <v>145</v>
      </c>
      <c r="AC4" s="44" t="s">
        <v>146</v>
      </c>
      <c r="AD4" s="44" t="s">
        <v>163</v>
      </c>
      <c r="AE4" s="44" t="s">
        <v>145</v>
      </c>
      <c r="AF4" s="44" t="s">
        <v>146</v>
      </c>
      <c r="AG4" s="44" t="s">
        <v>163</v>
      </c>
      <c r="AH4" s="43"/>
      <c r="AI4" s="44" t="s">
        <v>145</v>
      </c>
      <c r="AJ4" s="44" t="s">
        <v>146</v>
      </c>
      <c r="AK4" s="44" t="s">
        <v>163</v>
      </c>
      <c r="AL4" s="43"/>
      <c r="AM4" s="45" t="s">
        <v>145</v>
      </c>
      <c r="AN4" s="45" t="s">
        <v>146</v>
      </c>
      <c r="AO4" s="48" t="s">
        <v>190</v>
      </c>
      <c r="AP4" s="50" t="s">
        <v>145</v>
      </c>
      <c r="AQ4" s="46" t="s">
        <v>146</v>
      </c>
      <c r="AR4" s="47" t="s">
        <v>191</v>
      </c>
      <c r="AS4" s="49" t="s">
        <v>145</v>
      </c>
      <c r="AT4" s="46" t="s">
        <v>146</v>
      </c>
      <c r="AU4" s="47" t="s">
        <v>191</v>
      </c>
      <c r="AV4" s="50" t="s">
        <v>145</v>
      </c>
      <c r="AW4" s="46" t="s">
        <v>146</v>
      </c>
      <c r="AX4" s="47" t="s">
        <v>163</v>
      </c>
      <c r="AY4" s="49" t="s">
        <v>145</v>
      </c>
      <c r="AZ4" s="46" t="s">
        <v>146</v>
      </c>
      <c r="BA4" s="47" t="s">
        <v>163</v>
      </c>
      <c r="BB4" s="49" t="s">
        <v>145</v>
      </c>
      <c r="BC4" s="46" t="s">
        <v>146</v>
      </c>
      <c r="BD4" s="47" t="s">
        <v>163</v>
      </c>
    </row>
    <row r="5" spans="1:56" ht="13.2" customHeight="1">
      <c r="A5" s="39"/>
      <c r="B5" s="64" t="s">
        <v>147</v>
      </c>
      <c r="C5" s="65">
        <v>10</v>
      </c>
      <c r="D5" s="66">
        <v>10</v>
      </c>
      <c r="E5" s="67">
        <v>10</v>
      </c>
      <c r="F5" s="65">
        <v>10</v>
      </c>
      <c r="G5" s="66">
        <v>10</v>
      </c>
      <c r="H5" s="67">
        <v>10</v>
      </c>
      <c r="I5" s="65">
        <v>10</v>
      </c>
      <c r="J5" s="66">
        <v>10</v>
      </c>
      <c r="K5" s="67">
        <v>10</v>
      </c>
      <c r="L5" s="65">
        <v>10</v>
      </c>
      <c r="M5" s="66">
        <v>10</v>
      </c>
      <c r="N5" s="67">
        <v>10</v>
      </c>
      <c r="O5" s="63"/>
      <c r="P5" s="70"/>
      <c r="Q5" s="70"/>
      <c r="R5" s="70"/>
      <c r="S5" s="39"/>
      <c r="T5" s="42"/>
      <c r="U5" s="42"/>
      <c r="V5" s="42"/>
      <c r="W5" s="52"/>
      <c r="X5" s="42">
        <v>10</v>
      </c>
      <c r="Y5" s="42">
        <v>10</v>
      </c>
      <c r="Z5" s="42">
        <v>10</v>
      </c>
      <c r="AA5" s="52"/>
      <c r="AB5" s="42">
        <v>10</v>
      </c>
      <c r="AC5" s="42"/>
      <c r="AD5" s="42"/>
      <c r="AE5" s="42">
        <v>10</v>
      </c>
      <c r="AF5" s="42">
        <v>10</v>
      </c>
      <c r="AG5" s="42">
        <v>10</v>
      </c>
      <c r="AH5" s="52"/>
      <c r="AI5" s="42"/>
      <c r="AJ5" s="42"/>
      <c r="AK5" s="42"/>
      <c r="AL5" s="52"/>
      <c r="AM5" s="72"/>
      <c r="AN5" s="72"/>
      <c r="AO5" s="72"/>
      <c r="AP5" s="72"/>
      <c r="AQ5" s="72"/>
      <c r="AR5" s="72"/>
      <c r="AS5" s="72"/>
      <c r="AT5" s="72"/>
      <c r="AU5" s="72"/>
      <c r="AV5" s="72">
        <f>SUM(I5,AB5,)</f>
        <v>20</v>
      </c>
      <c r="AW5" s="72">
        <f>SUM(J5,AC5,)</f>
        <v>10</v>
      </c>
      <c r="AX5" s="72">
        <f>SUM(K5,AD5,)</f>
        <v>10</v>
      </c>
      <c r="AY5" s="72">
        <f>SUM(L5,P5,T5,AE5,AI5,)</f>
        <v>20</v>
      </c>
      <c r="AZ5" s="72">
        <f>SUM(M5,Q5,U5,AF5,AJ5,)</f>
        <v>20</v>
      </c>
      <c r="BA5" s="72">
        <f>SUM(N5,R5,V5,AG5,AK5,)</f>
        <v>20</v>
      </c>
      <c r="BB5" s="72">
        <f>SUM(L5,P5,T5,X5,AE5,AI5,)</f>
        <v>30</v>
      </c>
      <c r="BC5" s="72">
        <f>SUM(M5,Q5,U5,Y5,AF5,AJ5,)</f>
        <v>30</v>
      </c>
      <c r="BD5" s="72">
        <f>SUM(N5,R5,V5,Z5,AG5,AK5,)</f>
        <v>30</v>
      </c>
    </row>
    <row r="6" spans="1:56" ht="13.2" customHeight="1">
      <c r="A6" s="39"/>
      <c r="B6" s="68" t="s">
        <v>18</v>
      </c>
      <c r="C6" s="69">
        <v>20</v>
      </c>
      <c r="D6" s="70">
        <v>20</v>
      </c>
      <c r="E6" s="71">
        <v>20</v>
      </c>
      <c r="F6" s="69">
        <v>25</v>
      </c>
      <c r="G6" s="70">
        <v>25</v>
      </c>
      <c r="H6" s="71">
        <v>25</v>
      </c>
      <c r="I6" s="69">
        <v>20</v>
      </c>
      <c r="J6" s="70">
        <v>20</v>
      </c>
      <c r="K6" s="71">
        <v>20</v>
      </c>
      <c r="L6" s="69">
        <v>25</v>
      </c>
      <c r="M6" s="70">
        <v>25</v>
      </c>
      <c r="N6" s="71">
        <v>25</v>
      </c>
      <c r="O6" s="63"/>
      <c r="P6" s="70">
        <v>10</v>
      </c>
      <c r="Q6" s="70">
        <v>10</v>
      </c>
      <c r="R6" s="70">
        <v>10</v>
      </c>
      <c r="S6" s="39"/>
      <c r="T6" s="42">
        <v>3</v>
      </c>
      <c r="U6" s="42">
        <v>3</v>
      </c>
      <c r="V6" s="42">
        <v>3</v>
      </c>
      <c r="W6" s="52"/>
      <c r="X6" s="42">
        <v>10</v>
      </c>
      <c r="Y6" s="42">
        <v>10</v>
      </c>
      <c r="Z6" s="42">
        <v>10</v>
      </c>
      <c r="AA6" s="52"/>
      <c r="AB6" s="42">
        <v>10</v>
      </c>
      <c r="AC6" s="42"/>
      <c r="AD6" s="42"/>
      <c r="AE6" s="42">
        <v>10</v>
      </c>
      <c r="AF6" s="42">
        <v>10</v>
      </c>
      <c r="AG6" s="42">
        <v>10</v>
      </c>
      <c r="AH6" s="52"/>
      <c r="AI6" s="42"/>
      <c r="AJ6" s="42"/>
      <c r="AK6" s="42"/>
      <c r="AL6" s="52"/>
      <c r="AM6" s="72"/>
      <c r="AN6" s="42"/>
      <c r="AO6" s="42"/>
      <c r="AP6" s="42"/>
      <c r="AQ6" s="42"/>
      <c r="AR6" s="42"/>
      <c r="AS6" s="42"/>
      <c r="AT6" s="42"/>
      <c r="AU6" s="42"/>
      <c r="AV6" s="72">
        <f t="shared" ref="AV6:AV14" si="0">SUM(I6,AB6,)</f>
        <v>30</v>
      </c>
      <c r="AW6" s="72">
        <f t="shared" ref="AW6:AW14" si="1">SUM(J6,AC6,)</f>
        <v>20</v>
      </c>
      <c r="AX6" s="72">
        <f t="shared" ref="AX6:AX14" si="2">SUM(K6,AD6,)</f>
        <v>20</v>
      </c>
      <c r="AY6" s="72">
        <f t="shared" ref="AY6:AY14" si="3">SUM(L6,P6,T6,AE6,AI6,)</f>
        <v>48</v>
      </c>
      <c r="AZ6" s="72">
        <f t="shared" ref="AZ6:AZ13" si="4">SUM(M6,Q6,U6,AF6,AJ6,)</f>
        <v>48</v>
      </c>
      <c r="BA6" s="72">
        <f t="shared" ref="BA6:BA14" si="5">SUM(N6,R6,V6,AG6,AK6,)</f>
        <v>48</v>
      </c>
      <c r="BB6" s="72">
        <f t="shared" ref="BB6:BB14" si="6">SUM(L6,P6,T6,X6,AE6,AI6,)</f>
        <v>58</v>
      </c>
      <c r="BC6" s="72">
        <f t="shared" ref="BC6:BC14" si="7">SUM(M6,Q6,U6,Y6,AF6,AJ6,)</f>
        <v>58</v>
      </c>
      <c r="BD6" s="72">
        <f t="shared" ref="BD6:BD14" si="8">SUM(N6,R6,V6,Z6,AG6,AK6,)</f>
        <v>58</v>
      </c>
    </row>
    <row r="7" spans="1:56" ht="13.2" customHeight="1">
      <c r="A7" s="39"/>
      <c r="B7" s="68" t="s">
        <v>19</v>
      </c>
      <c r="C7" s="69">
        <v>20</v>
      </c>
      <c r="D7" s="70">
        <v>20</v>
      </c>
      <c r="E7" s="71">
        <v>20</v>
      </c>
      <c r="F7" s="69">
        <v>25</v>
      </c>
      <c r="G7" s="70">
        <v>25</v>
      </c>
      <c r="H7" s="71">
        <v>25</v>
      </c>
      <c r="I7" s="69">
        <v>20</v>
      </c>
      <c r="J7" s="70">
        <v>20</v>
      </c>
      <c r="K7" s="71">
        <v>20</v>
      </c>
      <c r="L7" s="69">
        <v>25</v>
      </c>
      <c r="M7" s="70">
        <v>25</v>
      </c>
      <c r="N7" s="71">
        <v>25</v>
      </c>
      <c r="O7" s="63"/>
      <c r="P7" s="70">
        <v>10</v>
      </c>
      <c r="Q7" s="70">
        <v>10</v>
      </c>
      <c r="R7" s="70">
        <v>10</v>
      </c>
      <c r="S7" s="39"/>
      <c r="T7" s="42">
        <v>3</v>
      </c>
      <c r="U7" s="42">
        <v>3</v>
      </c>
      <c r="V7" s="42">
        <v>3</v>
      </c>
      <c r="W7" s="52"/>
      <c r="X7" s="42">
        <v>10</v>
      </c>
      <c r="Y7" s="42">
        <v>10</v>
      </c>
      <c r="Z7" s="42">
        <v>10</v>
      </c>
      <c r="AA7" s="52"/>
      <c r="AB7" s="42">
        <v>10</v>
      </c>
      <c r="AC7" s="42"/>
      <c r="AD7" s="42"/>
      <c r="AE7" s="42">
        <v>10</v>
      </c>
      <c r="AF7" s="42">
        <v>10</v>
      </c>
      <c r="AG7" s="42">
        <v>10</v>
      </c>
      <c r="AH7" s="52"/>
      <c r="AI7" s="42"/>
      <c r="AJ7" s="42"/>
      <c r="AK7" s="42"/>
      <c r="AL7" s="52"/>
      <c r="AM7" s="72"/>
      <c r="AN7" s="42"/>
      <c r="AO7" s="42"/>
      <c r="AP7" s="42"/>
      <c r="AQ7" s="42"/>
      <c r="AR7" s="42"/>
      <c r="AS7" s="42"/>
      <c r="AT7" s="42"/>
      <c r="AU7" s="42"/>
      <c r="AV7" s="72">
        <f t="shared" si="0"/>
        <v>30</v>
      </c>
      <c r="AW7" s="72">
        <f t="shared" si="1"/>
        <v>20</v>
      </c>
      <c r="AX7" s="72">
        <f t="shared" si="2"/>
        <v>20</v>
      </c>
      <c r="AY7" s="72">
        <f t="shared" si="3"/>
        <v>48</v>
      </c>
      <c r="AZ7" s="72">
        <f t="shared" si="4"/>
        <v>48</v>
      </c>
      <c r="BA7" s="72">
        <f t="shared" si="5"/>
        <v>48</v>
      </c>
      <c r="BB7" s="72">
        <f t="shared" si="6"/>
        <v>58</v>
      </c>
      <c r="BC7" s="72">
        <f t="shared" si="7"/>
        <v>58</v>
      </c>
      <c r="BD7" s="72">
        <f t="shared" si="8"/>
        <v>58</v>
      </c>
    </row>
    <row r="8" spans="1:56" ht="13.2" customHeight="1">
      <c r="A8" s="39"/>
      <c r="B8" s="68" t="s">
        <v>169</v>
      </c>
      <c r="C8" s="69">
        <v>20</v>
      </c>
      <c r="D8" s="70">
        <v>20</v>
      </c>
      <c r="E8" s="71">
        <v>20</v>
      </c>
      <c r="F8" s="69">
        <v>25</v>
      </c>
      <c r="G8" s="70">
        <v>25</v>
      </c>
      <c r="H8" s="71">
        <v>25</v>
      </c>
      <c r="I8" s="69">
        <v>20</v>
      </c>
      <c r="J8" s="70">
        <v>20</v>
      </c>
      <c r="K8" s="71">
        <v>20</v>
      </c>
      <c r="L8" s="69">
        <v>25</v>
      </c>
      <c r="M8" s="70">
        <v>25</v>
      </c>
      <c r="N8" s="71">
        <v>25</v>
      </c>
      <c r="O8" s="63"/>
      <c r="P8" s="70">
        <v>10</v>
      </c>
      <c r="Q8" s="70">
        <v>10</v>
      </c>
      <c r="R8" s="70">
        <v>10</v>
      </c>
      <c r="S8" s="39"/>
      <c r="T8" s="42"/>
      <c r="U8" s="42"/>
      <c r="V8" s="42"/>
      <c r="W8" s="52"/>
      <c r="X8" s="42">
        <v>10</v>
      </c>
      <c r="Y8" s="42">
        <v>10</v>
      </c>
      <c r="Z8" s="42">
        <v>10</v>
      </c>
      <c r="AA8" s="52"/>
      <c r="AB8" s="42">
        <v>10</v>
      </c>
      <c r="AC8" s="42"/>
      <c r="AD8" s="42"/>
      <c r="AE8" s="42">
        <v>10</v>
      </c>
      <c r="AF8" s="42">
        <v>10</v>
      </c>
      <c r="AG8" s="42">
        <v>10</v>
      </c>
      <c r="AH8" s="52"/>
      <c r="AI8" s="42"/>
      <c r="AJ8" s="42"/>
      <c r="AK8" s="42"/>
      <c r="AL8" s="52"/>
      <c r="AM8" s="72"/>
      <c r="AN8" s="42"/>
      <c r="AO8" s="42"/>
      <c r="AP8" s="42"/>
      <c r="AQ8" s="42"/>
      <c r="AR8" s="42"/>
      <c r="AS8" s="42"/>
      <c r="AT8" s="42"/>
      <c r="AU8" s="42"/>
      <c r="AV8" s="72">
        <f t="shared" si="0"/>
        <v>30</v>
      </c>
      <c r="AW8" s="72">
        <f t="shared" si="1"/>
        <v>20</v>
      </c>
      <c r="AX8" s="72">
        <f t="shared" si="2"/>
        <v>20</v>
      </c>
      <c r="AY8" s="72">
        <f t="shared" si="3"/>
        <v>45</v>
      </c>
      <c r="AZ8" s="72">
        <f t="shared" si="4"/>
        <v>45</v>
      </c>
      <c r="BA8" s="72">
        <f t="shared" si="5"/>
        <v>45</v>
      </c>
      <c r="BB8" s="72">
        <f t="shared" si="6"/>
        <v>55</v>
      </c>
      <c r="BC8" s="72">
        <f t="shared" si="7"/>
        <v>55</v>
      </c>
      <c r="BD8" s="72">
        <f>SUM(N8,R8,V8,Z8,AG8,AK8,)</f>
        <v>55</v>
      </c>
    </row>
    <row r="9" spans="1:56" ht="13.2" customHeight="1">
      <c r="A9" s="39"/>
      <c r="B9" s="68" t="s">
        <v>170</v>
      </c>
      <c r="C9" s="69">
        <v>20</v>
      </c>
      <c r="D9" s="70">
        <v>20</v>
      </c>
      <c r="E9" s="71">
        <v>20</v>
      </c>
      <c r="F9" s="69">
        <v>25</v>
      </c>
      <c r="G9" s="70">
        <v>25</v>
      </c>
      <c r="H9" s="71">
        <v>25</v>
      </c>
      <c r="I9" s="69">
        <v>20</v>
      </c>
      <c r="J9" s="70">
        <v>20</v>
      </c>
      <c r="K9" s="71">
        <v>20</v>
      </c>
      <c r="L9" s="69">
        <v>25</v>
      </c>
      <c r="M9" s="70">
        <v>25</v>
      </c>
      <c r="N9" s="71">
        <v>25</v>
      </c>
      <c r="O9" s="63"/>
      <c r="P9" s="70">
        <v>10</v>
      </c>
      <c r="Q9" s="70">
        <v>10</v>
      </c>
      <c r="R9" s="70">
        <v>10</v>
      </c>
      <c r="S9" s="39"/>
      <c r="T9" s="42"/>
      <c r="U9" s="42"/>
      <c r="V9" s="42"/>
      <c r="W9" s="52"/>
      <c r="X9" s="42">
        <v>10</v>
      </c>
      <c r="Y9" s="42">
        <v>10</v>
      </c>
      <c r="Z9" s="42">
        <v>10</v>
      </c>
      <c r="AA9" s="52"/>
      <c r="AB9" s="42">
        <v>10</v>
      </c>
      <c r="AC9" s="42"/>
      <c r="AD9" s="42"/>
      <c r="AE9" s="42">
        <v>10</v>
      </c>
      <c r="AF9" s="42">
        <v>10</v>
      </c>
      <c r="AG9" s="42">
        <v>10</v>
      </c>
      <c r="AH9" s="52"/>
      <c r="AI9" s="42"/>
      <c r="AJ9" s="42"/>
      <c r="AK9" s="42"/>
      <c r="AL9" s="52"/>
      <c r="AM9" s="72"/>
      <c r="AN9" s="42"/>
      <c r="AO9" s="42"/>
      <c r="AP9" s="42"/>
      <c r="AQ9" s="42"/>
      <c r="AR9" s="42"/>
      <c r="AS9" s="42"/>
      <c r="AT9" s="42"/>
      <c r="AU9" s="42"/>
      <c r="AV9" s="72">
        <f t="shared" si="0"/>
        <v>30</v>
      </c>
      <c r="AW9" s="72">
        <f t="shared" si="1"/>
        <v>20</v>
      </c>
      <c r="AX9" s="72">
        <f t="shared" si="2"/>
        <v>20</v>
      </c>
      <c r="AY9" s="72">
        <f t="shared" si="3"/>
        <v>45</v>
      </c>
      <c r="AZ9" s="72">
        <f t="shared" si="4"/>
        <v>45</v>
      </c>
      <c r="BA9" s="72">
        <f t="shared" si="5"/>
        <v>45</v>
      </c>
      <c r="BB9" s="72">
        <f t="shared" si="6"/>
        <v>55</v>
      </c>
      <c r="BC9" s="72">
        <f t="shared" si="7"/>
        <v>55</v>
      </c>
      <c r="BD9" s="72">
        <f t="shared" si="8"/>
        <v>55</v>
      </c>
    </row>
    <row r="10" spans="1:56" ht="13.2" customHeight="1">
      <c r="A10" s="39"/>
      <c r="B10" s="68" t="s">
        <v>171</v>
      </c>
      <c r="C10" s="69">
        <v>20</v>
      </c>
      <c r="D10" s="70">
        <v>20</v>
      </c>
      <c r="E10" s="71">
        <v>20</v>
      </c>
      <c r="F10" s="69">
        <v>25</v>
      </c>
      <c r="G10" s="70">
        <v>25</v>
      </c>
      <c r="H10" s="71">
        <v>25</v>
      </c>
      <c r="I10" s="69">
        <v>20</v>
      </c>
      <c r="J10" s="70">
        <v>20</v>
      </c>
      <c r="K10" s="71">
        <v>20</v>
      </c>
      <c r="L10" s="69">
        <v>25</v>
      </c>
      <c r="M10" s="70">
        <v>25</v>
      </c>
      <c r="N10" s="71">
        <v>25</v>
      </c>
      <c r="O10" s="63"/>
      <c r="P10" s="70">
        <v>10</v>
      </c>
      <c r="Q10" s="70">
        <v>10</v>
      </c>
      <c r="R10" s="70">
        <v>10</v>
      </c>
      <c r="S10" s="39"/>
      <c r="T10" s="42"/>
      <c r="U10" s="42"/>
      <c r="V10" s="42"/>
      <c r="W10" s="52"/>
      <c r="X10" s="42">
        <v>10</v>
      </c>
      <c r="Y10" s="42">
        <v>10</v>
      </c>
      <c r="Z10" s="42">
        <v>10</v>
      </c>
      <c r="AA10" s="52"/>
      <c r="AB10" s="42">
        <v>10</v>
      </c>
      <c r="AC10" s="42"/>
      <c r="AD10" s="42"/>
      <c r="AE10" s="42">
        <v>10</v>
      </c>
      <c r="AF10" s="42">
        <v>10</v>
      </c>
      <c r="AG10" s="42">
        <v>10</v>
      </c>
      <c r="AH10" s="52"/>
      <c r="AI10" s="42"/>
      <c r="AJ10" s="42"/>
      <c r="AK10" s="42"/>
      <c r="AL10" s="52"/>
      <c r="AM10" s="72"/>
      <c r="AN10" s="42"/>
      <c r="AO10" s="42"/>
      <c r="AP10" s="42"/>
      <c r="AQ10" s="42"/>
      <c r="AR10" s="42"/>
      <c r="AS10" s="42"/>
      <c r="AT10" s="42"/>
      <c r="AU10" s="42"/>
      <c r="AV10" s="72">
        <f t="shared" si="0"/>
        <v>30</v>
      </c>
      <c r="AW10" s="72">
        <f t="shared" si="1"/>
        <v>20</v>
      </c>
      <c r="AX10" s="72">
        <f t="shared" si="2"/>
        <v>20</v>
      </c>
      <c r="AY10" s="72">
        <f t="shared" si="3"/>
        <v>45</v>
      </c>
      <c r="AZ10" s="72">
        <f t="shared" si="4"/>
        <v>45</v>
      </c>
      <c r="BA10" s="72">
        <f t="shared" si="5"/>
        <v>45</v>
      </c>
      <c r="BB10" s="72">
        <f t="shared" si="6"/>
        <v>55</v>
      </c>
      <c r="BC10" s="72">
        <f t="shared" si="7"/>
        <v>55</v>
      </c>
      <c r="BD10" s="72">
        <f t="shared" si="8"/>
        <v>55</v>
      </c>
    </row>
    <row r="11" spans="1:56" ht="13.2" customHeight="1">
      <c r="A11" s="39"/>
      <c r="B11" s="68" t="s">
        <v>10</v>
      </c>
      <c r="C11" s="69">
        <v>20</v>
      </c>
      <c r="D11" s="70">
        <v>20</v>
      </c>
      <c r="E11" s="71">
        <v>20</v>
      </c>
      <c r="F11" s="69">
        <v>25</v>
      </c>
      <c r="G11" s="70">
        <v>25</v>
      </c>
      <c r="H11" s="71">
        <v>25</v>
      </c>
      <c r="I11" s="69">
        <v>20</v>
      </c>
      <c r="J11" s="70">
        <v>20</v>
      </c>
      <c r="K11" s="71">
        <v>20</v>
      </c>
      <c r="L11" s="69">
        <v>25</v>
      </c>
      <c r="M11" s="70">
        <v>25</v>
      </c>
      <c r="N11" s="71">
        <v>25</v>
      </c>
      <c r="O11" s="63"/>
      <c r="P11" s="70">
        <v>10</v>
      </c>
      <c r="Q11" s="70">
        <v>10</v>
      </c>
      <c r="R11" s="70">
        <v>10</v>
      </c>
      <c r="S11" s="39"/>
      <c r="T11" s="42">
        <v>3</v>
      </c>
      <c r="U11" s="42">
        <v>3</v>
      </c>
      <c r="V11" s="42">
        <v>3</v>
      </c>
      <c r="W11" s="52"/>
      <c r="X11" s="42">
        <v>10</v>
      </c>
      <c r="Y11" s="42">
        <v>10</v>
      </c>
      <c r="Z11" s="42">
        <v>10</v>
      </c>
      <c r="AA11" s="52"/>
      <c r="AB11" s="42">
        <v>10</v>
      </c>
      <c r="AC11" s="42"/>
      <c r="AD11" s="42"/>
      <c r="AE11" s="42">
        <v>10</v>
      </c>
      <c r="AF11" s="42">
        <v>10</v>
      </c>
      <c r="AG11" s="42">
        <v>10</v>
      </c>
      <c r="AH11" s="52"/>
      <c r="AI11" s="42"/>
      <c r="AJ11" s="42"/>
      <c r="AK11" s="42"/>
      <c r="AL11" s="52"/>
      <c r="AM11" s="72"/>
      <c r="AN11" s="42"/>
      <c r="AO11" s="42"/>
      <c r="AP11" s="42"/>
      <c r="AQ11" s="42"/>
      <c r="AR11" s="42"/>
      <c r="AS11" s="42"/>
      <c r="AT11" s="42"/>
      <c r="AU11" s="42"/>
      <c r="AV11" s="72">
        <f t="shared" si="0"/>
        <v>30</v>
      </c>
      <c r="AW11" s="72">
        <f t="shared" si="1"/>
        <v>20</v>
      </c>
      <c r="AX11" s="72">
        <f t="shared" si="2"/>
        <v>20</v>
      </c>
      <c r="AY11" s="72">
        <f t="shared" si="3"/>
        <v>48</v>
      </c>
      <c r="AZ11" s="72">
        <f t="shared" si="4"/>
        <v>48</v>
      </c>
      <c r="BA11" s="72">
        <f t="shared" si="5"/>
        <v>48</v>
      </c>
      <c r="BB11" s="72">
        <f t="shared" si="6"/>
        <v>58</v>
      </c>
      <c r="BC11" s="72">
        <f t="shared" si="7"/>
        <v>58</v>
      </c>
      <c r="BD11" s="72">
        <f t="shared" si="8"/>
        <v>58</v>
      </c>
    </row>
    <row r="12" spans="1:56" ht="13.2" customHeight="1">
      <c r="A12" s="39"/>
      <c r="B12" s="68" t="s">
        <v>20</v>
      </c>
      <c r="C12" s="69">
        <v>20</v>
      </c>
      <c r="D12" s="70">
        <v>20</v>
      </c>
      <c r="E12" s="71">
        <v>20</v>
      </c>
      <c r="F12" s="69">
        <v>25</v>
      </c>
      <c r="G12" s="70">
        <v>25</v>
      </c>
      <c r="H12" s="71">
        <v>25</v>
      </c>
      <c r="I12" s="69">
        <v>20</v>
      </c>
      <c r="J12" s="70">
        <v>20</v>
      </c>
      <c r="K12" s="71">
        <v>20</v>
      </c>
      <c r="L12" s="69">
        <v>25</v>
      </c>
      <c r="M12" s="70">
        <v>25</v>
      </c>
      <c r="N12" s="71">
        <v>25</v>
      </c>
      <c r="O12" s="63"/>
      <c r="P12" s="70">
        <v>10</v>
      </c>
      <c r="Q12" s="70">
        <v>10</v>
      </c>
      <c r="R12" s="70">
        <v>10</v>
      </c>
      <c r="S12" s="39"/>
      <c r="T12" s="42">
        <v>3</v>
      </c>
      <c r="U12" s="42">
        <v>3</v>
      </c>
      <c r="V12" s="42">
        <v>3</v>
      </c>
      <c r="W12" s="52"/>
      <c r="X12" s="42">
        <v>10</v>
      </c>
      <c r="Y12" s="42">
        <v>10</v>
      </c>
      <c r="Z12" s="42">
        <v>10</v>
      </c>
      <c r="AA12" s="52"/>
      <c r="AB12" s="42">
        <v>10</v>
      </c>
      <c r="AC12" s="42"/>
      <c r="AD12" s="42"/>
      <c r="AE12" s="42">
        <v>10</v>
      </c>
      <c r="AF12" s="42">
        <v>10</v>
      </c>
      <c r="AG12" s="42">
        <v>10</v>
      </c>
      <c r="AH12" s="52"/>
      <c r="AI12" s="42"/>
      <c r="AJ12" s="42"/>
      <c r="AK12" s="42"/>
      <c r="AL12" s="52"/>
      <c r="AM12" s="72"/>
      <c r="AN12" s="42"/>
      <c r="AO12" s="42"/>
      <c r="AP12" s="42"/>
      <c r="AQ12" s="42"/>
      <c r="AR12" s="42"/>
      <c r="AS12" s="42"/>
      <c r="AT12" s="42"/>
      <c r="AU12" s="42"/>
      <c r="AV12" s="72">
        <f t="shared" si="0"/>
        <v>30</v>
      </c>
      <c r="AW12" s="72">
        <f t="shared" si="1"/>
        <v>20</v>
      </c>
      <c r="AX12" s="72">
        <f t="shared" si="2"/>
        <v>20</v>
      </c>
      <c r="AY12" s="72">
        <f t="shared" si="3"/>
        <v>48</v>
      </c>
      <c r="AZ12" s="72">
        <f t="shared" si="4"/>
        <v>48</v>
      </c>
      <c r="BA12" s="72">
        <f t="shared" si="5"/>
        <v>48</v>
      </c>
      <c r="BB12" s="72">
        <f t="shared" si="6"/>
        <v>58</v>
      </c>
      <c r="BC12" s="72">
        <f t="shared" si="7"/>
        <v>58</v>
      </c>
      <c r="BD12" s="72">
        <f t="shared" si="8"/>
        <v>58</v>
      </c>
    </row>
    <row r="13" spans="1:56" ht="13.2" customHeight="1">
      <c r="A13" s="39"/>
      <c r="B13" s="68" t="s">
        <v>21</v>
      </c>
      <c r="C13" s="69">
        <v>20</v>
      </c>
      <c r="D13" s="70">
        <v>20</v>
      </c>
      <c r="E13" s="71">
        <v>20</v>
      </c>
      <c r="F13" s="69">
        <v>25</v>
      </c>
      <c r="G13" s="70">
        <v>25</v>
      </c>
      <c r="H13" s="71">
        <v>25</v>
      </c>
      <c r="I13" s="69">
        <v>20</v>
      </c>
      <c r="J13" s="70">
        <v>20</v>
      </c>
      <c r="K13" s="71">
        <v>20</v>
      </c>
      <c r="L13" s="69">
        <v>25</v>
      </c>
      <c r="M13" s="70">
        <v>25</v>
      </c>
      <c r="N13" s="71">
        <v>25</v>
      </c>
      <c r="O13" s="63"/>
      <c r="P13" s="70">
        <v>10</v>
      </c>
      <c r="Q13" s="70">
        <v>10</v>
      </c>
      <c r="R13" s="70">
        <v>10</v>
      </c>
      <c r="S13" s="39"/>
      <c r="T13" s="42">
        <v>3</v>
      </c>
      <c r="U13" s="42">
        <v>3</v>
      </c>
      <c r="V13" s="42">
        <v>3</v>
      </c>
      <c r="W13" s="52"/>
      <c r="X13" s="42">
        <v>10</v>
      </c>
      <c r="Y13" s="42">
        <v>10</v>
      </c>
      <c r="Z13" s="42">
        <v>10</v>
      </c>
      <c r="AA13" s="52"/>
      <c r="AB13" s="42">
        <v>10</v>
      </c>
      <c r="AC13" s="42"/>
      <c r="AD13" s="42"/>
      <c r="AE13" s="42">
        <v>10</v>
      </c>
      <c r="AF13" s="42">
        <v>10</v>
      </c>
      <c r="AG13" s="42">
        <v>10</v>
      </c>
      <c r="AH13" s="52"/>
      <c r="AI13" s="42"/>
      <c r="AJ13" s="42"/>
      <c r="AK13" s="42"/>
      <c r="AL13" s="52"/>
      <c r="AM13" s="72"/>
      <c r="AN13" s="42"/>
      <c r="AO13" s="42"/>
      <c r="AP13" s="42"/>
      <c r="AQ13" s="42"/>
      <c r="AR13" s="42"/>
      <c r="AS13" s="42"/>
      <c r="AT13" s="42"/>
      <c r="AU13" s="42"/>
      <c r="AV13" s="72">
        <f t="shared" si="0"/>
        <v>30</v>
      </c>
      <c r="AW13" s="72">
        <f t="shared" si="1"/>
        <v>20</v>
      </c>
      <c r="AX13" s="72">
        <f t="shared" si="2"/>
        <v>20</v>
      </c>
      <c r="AY13" s="72">
        <f t="shared" si="3"/>
        <v>48</v>
      </c>
      <c r="AZ13" s="72">
        <f t="shared" si="4"/>
        <v>48</v>
      </c>
      <c r="BA13" s="72">
        <f t="shared" si="5"/>
        <v>48</v>
      </c>
      <c r="BB13" s="72">
        <f t="shared" si="6"/>
        <v>58</v>
      </c>
      <c r="BC13" s="72">
        <f t="shared" si="7"/>
        <v>58</v>
      </c>
      <c r="BD13" s="72">
        <f t="shared" si="8"/>
        <v>58</v>
      </c>
    </row>
    <row r="14" spans="1:56" ht="13.2" customHeight="1">
      <c r="A14" s="39"/>
      <c r="B14" s="68" t="s">
        <v>11</v>
      </c>
      <c r="C14" s="69">
        <v>20</v>
      </c>
      <c r="D14" s="70">
        <v>20</v>
      </c>
      <c r="E14" s="71">
        <v>20</v>
      </c>
      <c r="F14" s="69">
        <v>25</v>
      </c>
      <c r="G14" s="70">
        <v>25</v>
      </c>
      <c r="H14" s="71">
        <v>25</v>
      </c>
      <c r="I14" s="69">
        <v>20</v>
      </c>
      <c r="J14" s="70">
        <v>20</v>
      </c>
      <c r="K14" s="71">
        <v>20</v>
      </c>
      <c r="L14" s="69">
        <v>25</v>
      </c>
      <c r="M14" s="70">
        <v>25</v>
      </c>
      <c r="N14" s="71">
        <v>25</v>
      </c>
      <c r="O14" s="63"/>
      <c r="P14" s="70">
        <v>10</v>
      </c>
      <c r="Q14" s="70">
        <v>10</v>
      </c>
      <c r="R14" s="70">
        <v>10</v>
      </c>
      <c r="S14" s="39"/>
      <c r="T14" s="42">
        <v>3</v>
      </c>
      <c r="U14" s="42">
        <v>3</v>
      </c>
      <c r="V14" s="42">
        <v>3</v>
      </c>
      <c r="W14" s="52"/>
      <c r="X14" s="42">
        <v>10</v>
      </c>
      <c r="Y14" s="42">
        <v>10</v>
      </c>
      <c r="Z14" s="42">
        <v>10</v>
      </c>
      <c r="AA14" s="52"/>
      <c r="AB14" s="42">
        <v>10</v>
      </c>
      <c r="AC14" s="42"/>
      <c r="AD14" s="42"/>
      <c r="AE14" s="42">
        <v>10</v>
      </c>
      <c r="AF14" s="42">
        <v>10</v>
      </c>
      <c r="AG14" s="42">
        <v>10</v>
      </c>
      <c r="AH14" s="52"/>
      <c r="AI14" s="42"/>
      <c r="AJ14" s="42"/>
      <c r="AK14" s="42"/>
      <c r="AL14" s="52"/>
      <c r="AM14" s="72"/>
      <c r="AN14" s="42"/>
      <c r="AO14" s="42"/>
      <c r="AP14" s="42"/>
      <c r="AQ14" s="42"/>
      <c r="AR14" s="42"/>
      <c r="AS14" s="42"/>
      <c r="AT14" s="42"/>
      <c r="AU14" s="42"/>
      <c r="AV14" s="72">
        <f t="shared" si="0"/>
        <v>30</v>
      </c>
      <c r="AW14" s="72">
        <f t="shared" si="1"/>
        <v>20</v>
      </c>
      <c r="AX14" s="72">
        <f t="shared" si="2"/>
        <v>20</v>
      </c>
      <c r="AY14" s="72">
        <f t="shared" si="3"/>
        <v>48</v>
      </c>
      <c r="AZ14" s="72">
        <f>SUM(M14,Q14,U14,AF14,AJ14,)</f>
        <v>48</v>
      </c>
      <c r="BA14" s="72">
        <f t="shared" si="5"/>
        <v>48</v>
      </c>
      <c r="BB14" s="72">
        <f t="shared" si="6"/>
        <v>58</v>
      </c>
      <c r="BC14" s="72">
        <f t="shared" si="7"/>
        <v>58</v>
      </c>
      <c r="BD14" s="72">
        <f t="shared" si="8"/>
        <v>58</v>
      </c>
    </row>
    <row r="15" spans="1:56" ht="13.2" customHeight="1">
      <c r="B15" s="53" t="s">
        <v>164</v>
      </c>
      <c r="C15" s="58">
        <v>22</v>
      </c>
      <c r="D15" s="37">
        <v>22</v>
      </c>
      <c r="E15" s="59">
        <v>12</v>
      </c>
      <c r="F15" s="58">
        <v>25</v>
      </c>
      <c r="G15" s="37">
        <v>25</v>
      </c>
      <c r="H15" s="59">
        <v>15</v>
      </c>
      <c r="I15" s="58">
        <v>22</v>
      </c>
      <c r="J15" s="37">
        <v>22</v>
      </c>
      <c r="K15" s="59">
        <v>12</v>
      </c>
      <c r="L15" s="58">
        <v>25</v>
      </c>
      <c r="M15" s="37">
        <v>25</v>
      </c>
      <c r="N15" s="59">
        <v>15</v>
      </c>
      <c r="P15" s="37">
        <v>13</v>
      </c>
      <c r="Q15" s="37">
        <v>13</v>
      </c>
      <c r="R15" s="37">
        <v>5</v>
      </c>
      <c r="T15" s="37">
        <v>3</v>
      </c>
      <c r="U15" s="37">
        <v>3</v>
      </c>
      <c r="V15" s="37"/>
      <c r="W15" s="12"/>
      <c r="X15" s="37"/>
      <c r="Y15" s="37"/>
      <c r="Z15" s="37"/>
      <c r="AA15" s="12"/>
      <c r="AB15" s="37"/>
      <c r="AC15" s="37"/>
      <c r="AD15" s="37"/>
      <c r="AE15" s="37"/>
      <c r="AF15" s="37"/>
      <c r="AG15" s="37"/>
      <c r="AH15" s="12"/>
      <c r="AI15" s="37"/>
      <c r="AJ15" s="37"/>
      <c r="AK15" s="37"/>
      <c r="AL15" s="12"/>
      <c r="AM15" s="51">
        <f t="shared" ref="AM15:AO51" si="9">SUM(C15,AB15)</f>
        <v>22</v>
      </c>
      <c r="AN15" s="51">
        <f t="shared" si="9"/>
        <v>22</v>
      </c>
      <c r="AO15" s="51">
        <f t="shared" si="9"/>
        <v>12</v>
      </c>
      <c r="AP15" s="37">
        <f>SUM(F15,AE15,AI15,)</f>
        <v>25</v>
      </c>
      <c r="AQ15" s="37">
        <f>SUM(G15,AF15,AJ15,)</f>
        <v>25</v>
      </c>
      <c r="AR15" s="37">
        <f>SUM(H15,AG15,AK15,)</f>
        <v>15</v>
      </c>
      <c r="AS15" s="37">
        <f>SUM(F15,P15,T15,,AE15,AI15,)</f>
        <v>41</v>
      </c>
      <c r="AT15" s="37">
        <f>SUM(G15,Q15,U15,,AF15,AJ15,)</f>
        <v>41</v>
      </c>
      <c r="AU15" s="37">
        <f>SUM(H15,R15,V15,,AG15,AK15,)</f>
        <v>20</v>
      </c>
      <c r="AV15" s="37"/>
      <c r="AW15" s="37"/>
      <c r="AX15" s="37"/>
      <c r="AY15" s="37"/>
      <c r="AZ15" s="37"/>
      <c r="BA15" s="37"/>
      <c r="BB15" s="37"/>
      <c r="BC15" s="37"/>
      <c r="BD15" s="37"/>
    </row>
    <row r="16" spans="1:56" ht="13.2" customHeight="1">
      <c r="B16" s="54" t="s">
        <v>148</v>
      </c>
      <c r="C16" s="58">
        <v>22</v>
      </c>
      <c r="D16" s="37">
        <v>22</v>
      </c>
      <c r="E16" s="59">
        <v>12</v>
      </c>
      <c r="F16" s="58">
        <v>25</v>
      </c>
      <c r="G16" s="37">
        <v>25</v>
      </c>
      <c r="H16" s="59">
        <v>15</v>
      </c>
      <c r="I16" s="58">
        <v>22</v>
      </c>
      <c r="J16" s="37">
        <v>22</v>
      </c>
      <c r="K16" s="59">
        <v>12</v>
      </c>
      <c r="L16" s="58">
        <v>25</v>
      </c>
      <c r="M16" s="37">
        <v>25</v>
      </c>
      <c r="N16" s="59">
        <v>15</v>
      </c>
      <c r="P16" s="37">
        <v>13</v>
      </c>
      <c r="Q16" s="37">
        <v>13</v>
      </c>
      <c r="R16" s="37">
        <v>5</v>
      </c>
      <c r="T16" s="37">
        <v>5</v>
      </c>
      <c r="U16" s="37">
        <v>5</v>
      </c>
      <c r="V16" s="37"/>
      <c r="W16" s="12"/>
      <c r="X16" s="37"/>
      <c r="Y16" s="37"/>
      <c r="Z16" s="37"/>
      <c r="AA16" s="12"/>
      <c r="AB16" s="37">
        <v>3</v>
      </c>
      <c r="AC16" s="37"/>
      <c r="AD16" s="37"/>
      <c r="AE16" s="37">
        <v>3</v>
      </c>
      <c r="AF16" s="37">
        <v>3</v>
      </c>
      <c r="AG16" s="37"/>
      <c r="AH16" s="12"/>
      <c r="AI16" s="37"/>
      <c r="AJ16" s="37"/>
      <c r="AK16" s="37"/>
      <c r="AL16" s="12"/>
      <c r="AM16" s="51">
        <f t="shared" si="9"/>
        <v>25</v>
      </c>
      <c r="AN16" s="51">
        <f t="shared" si="9"/>
        <v>22</v>
      </c>
      <c r="AO16" s="51">
        <f t="shared" si="9"/>
        <v>12</v>
      </c>
      <c r="AP16" s="37">
        <f t="shared" ref="AP16:AP51" si="10">SUM(F16,AE16,AI16,)</f>
        <v>28</v>
      </c>
      <c r="AQ16" s="37">
        <f t="shared" ref="AQ16:AQ51" si="11">SUM(G16,AF16,AJ16,)</f>
        <v>28</v>
      </c>
      <c r="AR16" s="37">
        <f t="shared" ref="AR16:AR51" si="12">SUM(H16,AG16,AK16,)</f>
        <v>15</v>
      </c>
      <c r="AS16" s="37">
        <f t="shared" ref="AS16:AS51" si="13">SUM(F16,P16,T16,,AE16,AI16,)</f>
        <v>46</v>
      </c>
      <c r="AT16" s="37">
        <f t="shared" ref="AT16:AT51" si="14">SUM(G16,Q16,U16,,AF16,AJ16,)</f>
        <v>46</v>
      </c>
      <c r="AU16" s="37">
        <f t="shared" ref="AU16:AU51" si="15">SUM(H16,R16,V16,,AG16,AK16,)</f>
        <v>20</v>
      </c>
      <c r="AV16" s="37"/>
      <c r="AW16" s="37"/>
      <c r="AX16" s="37"/>
      <c r="AY16" s="37"/>
      <c r="AZ16" s="37"/>
      <c r="BA16" s="37"/>
      <c r="BB16" s="37"/>
      <c r="BC16" s="37"/>
      <c r="BD16" s="37"/>
    </row>
    <row r="17" spans="1:56" ht="13.2" customHeight="1">
      <c r="B17" s="54" t="s">
        <v>149</v>
      </c>
      <c r="C17" s="58">
        <v>22</v>
      </c>
      <c r="D17" s="37">
        <v>22</v>
      </c>
      <c r="E17" s="59">
        <v>12</v>
      </c>
      <c r="F17" s="58">
        <v>25</v>
      </c>
      <c r="G17" s="37">
        <v>25</v>
      </c>
      <c r="H17" s="59">
        <v>15</v>
      </c>
      <c r="I17" s="58">
        <v>22</v>
      </c>
      <c r="J17" s="37">
        <v>22</v>
      </c>
      <c r="K17" s="59">
        <v>12</v>
      </c>
      <c r="L17" s="58">
        <v>25</v>
      </c>
      <c r="M17" s="37">
        <v>25</v>
      </c>
      <c r="N17" s="59">
        <v>15</v>
      </c>
      <c r="P17" s="37"/>
      <c r="Q17" s="37"/>
      <c r="R17" s="37"/>
      <c r="T17" s="37"/>
      <c r="U17" s="37"/>
      <c r="V17" s="37"/>
      <c r="W17" s="12"/>
      <c r="X17" s="37"/>
      <c r="Y17" s="37"/>
      <c r="Z17" s="37"/>
      <c r="AA17" s="12"/>
      <c r="AB17" s="37"/>
      <c r="AC17" s="37"/>
      <c r="AD17" s="37"/>
      <c r="AE17" s="37"/>
      <c r="AF17" s="37"/>
      <c r="AG17" s="37"/>
      <c r="AH17" s="12"/>
      <c r="AI17" s="37"/>
      <c r="AJ17" s="37"/>
      <c r="AK17" s="37"/>
      <c r="AL17" s="12"/>
      <c r="AM17" s="51">
        <f t="shared" si="9"/>
        <v>22</v>
      </c>
      <c r="AN17" s="51">
        <f t="shared" si="9"/>
        <v>22</v>
      </c>
      <c r="AO17" s="51">
        <f t="shared" si="9"/>
        <v>12</v>
      </c>
      <c r="AP17" s="37">
        <f t="shared" si="10"/>
        <v>25</v>
      </c>
      <c r="AQ17" s="37">
        <f t="shared" si="11"/>
        <v>25</v>
      </c>
      <c r="AR17" s="37">
        <f t="shared" si="12"/>
        <v>15</v>
      </c>
      <c r="AS17" s="37">
        <f t="shared" si="13"/>
        <v>25</v>
      </c>
      <c r="AT17" s="37">
        <f t="shared" si="14"/>
        <v>25</v>
      </c>
      <c r="AU17" s="37">
        <f t="shared" si="15"/>
        <v>15</v>
      </c>
      <c r="AV17" s="37"/>
      <c r="AW17" s="37"/>
      <c r="AX17" s="37"/>
      <c r="AY17" s="37"/>
      <c r="AZ17" s="37"/>
      <c r="BA17" s="37"/>
      <c r="BB17" s="37"/>
      <c r="BC17" s="37"/>
      <c r="BD17" s="37"/>
    </row>
    <row r="18" spans="1:56" ht="13.2" customHeight="1">
      <c r="B18" s="54" t="s">
        <v>150</v>
      </c>
      <c r="C18" s="58">
        <v>22</v>
      </c>
      <c r="D18" s="37">
        <v>22</v>
      </c>
      <c r="E18" s="59">
        <v>12</v>
      </c>
      <c r="F18" s="58">
        <v>25</v>
      </c>
      <c r="G18" s="37">
        <v>25</v>
      </c>
      <c r="H18" s="59">
        <v>15</v>
      </c>
      <c r="I18" s="58">
        <v>22</v>
      </c>
      <c r="J18" s="37">
        <v>22</v>
      </c>
      <c r="K18" s="59">
        <v>12</v>
      </c>
      <c r="L18" s="58">
        <v>25</v>
      </c>
      <c r="M18" s="37">
        <v>25</v>
      </c>
      <c r="N18" s="59">
        <v>15</v>
      </c>
      <c r="P18" s="37"/>
      <c r="Q18" s="37"/>
      <c r="R18" s="37"/>
      <c r="T18" s="37"/>
      <c r="U18" s="37"/>
      <c r="V18" s="37"/>
      <c r="W18" s="12"/>
      <c r="X18" s="37"/>
      <c r="Y18" s="37"/>
      <c r="Z18" s="37"/>
      <c r="AA18" s="12"/>
      <c r="AB18" s="37"/>
      <c r="AC18" s="37"/>
      <c r="AD18" s="37"/>
      <c r="AE18" s="37"/>
      <c r="AF18" s="37"/>
      <c r="AG18" s="37"/>
      <c r="AH18" s="12"/>
      <c r="AI18" s="37"/>
      <c r="AJ18" s="37"/>
      <c r="AK18" s="37"/>
      <c r="AL18" s="12"/>
      <c r="AM18" s="51">
        <f t="shared" si="9"/>
        <v>22</v>
      </c>
      <c r="AN18" s="51">
        <f t="shared" si="9"/>
        <v>22</v>
      </c>
      <c r="AO18" s="51">
        <f t="shared" si="9"/>
        <v>12</v>
      </c>
      <c r="AP18" s="37">
        <f t="shared" si="10"/>
        <v>25</v>
      </c>
      <c r="AQ18" s="37">
        <f t="shared" si="11"/>
        <v>25</v>
      </c>
      <c r="AR18" s="37">
        <f t="shared" si="12"/>
        <v>15</v>
      </c>
      <c r="AS18" s="37">
        <f t="shared" si="13"/>
        <v>25</v>
      </c>
      <c r="AT18" s="37">
        <f t="shared" si="14"/>
        <v>25</v>
      </c>
      <c r="AU18" s="37">
        <f t="shared" si="15"/>
        <v>15</v>
      </c>
      <c r="AV18" s="37"/>
      <c r="AW18" s="37"/>
      <c r="AX18" s="37"/>
      <c r="AY18" s="37"/>
      <c r="AZ18" s="37"/>
      <c r="BA18" s="37"/>
      <c r="BB18" s="37"/>
      <c r="BC18" s="37"/>
      <c r="BD18" s="37"/>
    </row>
    <row r="19" spans="1:56" ht="13.2" customHeight="1">
      <c r="A19" s="39"/>
      <c r="B19" s="53" t="s">
        <v>16</v>
      </c>
      <c r="C19" s="58">
        <v>22</v>
      </c>
      <c r="D19" s="37">
        <v>22</v>
      </c>
      <c r="E19" s="59">
        <v>12</v>
      </c>
      <c r="F19" s="58">
        <v>25</v>
      </c>
      <c r="G19" s="37">
        <v>25</v>
      </c>
      <c r="H19" s="59">
        <v>15</v>
      </c>
      <c r="I19" s="58">
        <v>22</v>
      </c>
      <c r="J19" s="37">
        <v>22</v>
      </c>
      <c r="K19" s="59">
        <v>12</v>
      </c>
      <c r="L19" s="58">
        <v>25</v>
      </c>
      <c r="M19" s="37">
        <v>25</v>
      </c>
      <c r="N19" s="59">
        <v>15</v>
      </c>
      <c r="O19" s="39"/>
      <c r="P19" s="37">
        <v>13</v>
      </c>
      <c r="Q19" s="37">
        <v>13</v>
      </c>
      <c r="R19" s="37">
        <v>5</v>
      </c>
      <c r="S19" s="39"/>
      <c r="T19" s="37">
        <v>5</v>
      </c>
      <c r="U19" s="37">
        <v>5</v>
      </c>
      <c r="V19" s="37"/>
      <c r="W19" s="12"/>
      <c r="X19" s="37"/>
      <c r="Y19" s="37"/>
      <c r="Z19" s="37"/>
      <c r="AA19" s="12"/>
      <c r="AB19" s="37">
        <v>8</v>
      </c>
      <c r="AC19" s="37"/>
      <c r="AD19" s="37"/>
      <c r="AE19" s="37">
        <v>8</v>
      </c>
      <c r="AF19" s="37">
        <v>8</v>
      </c>
      <c r="AG19" s="37"/>
      <c r="AH19" s="12"/>
      <c r="AI19" s="37">
        <v>3</v>
      </c>
      <c r="AJ19" s="37">
        <v>3</v>
      </c>
      <c r="AK19" s="37"/>
      <c r="AL19" s="12"/>
      <c r="AM19" s="51">
        <f t="shared" si="9"/>
        <v>30</v>
      </c>
      <c r="AN19" s="51">
        <f t="shared" si="9"/>
        <v>22</v>
      </c>
      <c r="AO19" s="51">
        <f t="shared" si="9"/>
        <v>12</v>
      </c>
      <c r="AP19" s="37">
        <f t="shared" si="10"/>
        <v>36</v>
      </c>
      <c r="AQ19" s="37">
        <f t="shared" si="11"/>
        <v>36</v>
      </c>
      <c r="AR19" s="37">
        <f t="shared" si="12"/>
        <v>15</v>
      </c>
      <c r="AS19" s="37">
        <f t="shared" si="13"/>
        <v>54</v>
      </c>
      <c r="AT19" s="37">
        <f t="shared" si="14"/>
        <v>54</v>
      </c>
      <c r="AU19" s="37">
        <f t="shared" si="15"/>
        <v>20</v>
      </c>
      <c r="AV19" s="37"/>
      <c r="AW19" s="37"/>
      <c r="AX19" s="37"/>
      <c r="AY19" s="37"/>
      <c r="AZ19" s="37"/>
      <c r="BA19" s="37"/>
      <c r="BB19" s="37"/>
      <c r="BC19" s="37"/>
      <c r="BD19" s="37"/>
    </row>
    <row r="20" spans="1:56" ht="13.2" customHeight="1">
      <c r="A20" s="39"/>
      <c r="B20" s="53" t="s">
        <v>17</v>
      </c>
      <c r="C20" s="58">
        <v>22</v>
      </c>
      <c r="D20" s="37">
        <v>22</v>
      </c>
      <c r="E20" s="59">
        <v>12</v>
      </c>
      <c r="F20" s="58">
        <v>25</v>
      </c>
      <c r="G20" s="37">
        <v>25</v>
      </c>
      <c r="H20" s="59">
        <v>15</v>
      </c>
      <c r="I20" s="58">
        <v>22</v>
      </c>
      <c r="J20" s="37">
        <v>22</v>
      </c>
      <c r="K20" s="59">
        <v>12</v>
      </c>
      <c r="L20" s="58">
        <v>25</v>
      </c>
      <c r="M20" s="37">
        <v>25</v>
      </c>
      <c r="N20" s="59">
        <v>15</v>
      </c>
      <c r="O20" s="39"/>
      <c r="P20" s="37">
        <v>13</v>
      </c>
      <c r="Q20" s="37">
        <v>13</v>
      </c>
      <c r="R20" s="37">
        <v>5</v>
      </c>
      <c r="S20" s="39"/>
      <c r="T20" s="37"/>
      <c r="U20" s="37"/>
      <c r="V20" s="37"/>
      <c r="W20" s="12"/>
      <c r="X20" s="37"/>
      <c r="Y20" s="37"/>
      <c r="Z20" s="37"/>
      <c r="AA20" s="12"/>
      <c r="AB20" s="37">
        <v>8</v>
      </c>
      <c r="AC20" s="37"/>
      <c r="AD20" s="37"/>
      <c r="AE20" s="37">
        <v>8</v>
      </c>
      <c r="AF20" s="37">
        <v>8</v>
      </c>
      <c r="AG20" s="37"/>
      <c r="AH20" s="12"/>
      <c r="AI20" s="37"/>
      <c r="AJ20" s="37"/>
      <c r="AK20" s="37"/>
      <c r="AL20" s="12"/>
      <c r="AM20" s="51">
        <f t="shared" si="9"/>
        <v>30</v>
      </c>
      <c r="AN20" s="51">
        <f t="shared" si="9"/>
        <v>22</v>
      </c>
      <c r="AO20" s="51">
        <f t="shared" si="9"/>
        <v>12</v>
      </c>
      <c r="AP20" s="37">
        <f t="shared" si="10"/>
        <v>33</v>
      </c>
      <c r="AQ20" s="37">
        <f t="shared" si="11"/>
        <v>33</v>
      </c>
      <c r="AR20" s="37">
        <f t="shared" si="12"/>
        <v>15</v>
      </c>
      <c r="AS20" s="37">
        <f t="shared" si="13"/>
        <v>46</v>
      </c>
      <c r="AT20" s="37">
        <f t="shared" si="14"/>
        <v>46</v>
      </c>
      <c r="AU20" s="37">
        <f t="shared" si="15"/>
        <v>20</v>
      </c>
      <c r="AV20" s="37"/>
      <c r="AW20" s="37"/>
      <c r="AX20" s="37"/>
      <c r="AY20" s="37"/>
      <c r="AZ20" s="37"/>
      <c r="BA20" s="37"/>
      <c r="BB20" s="37"/>
      <c r="BC20" s="37"/>
      <c r="BD20" s="37"/>
    </row>
    <row r="21" spans="1:56" ht="13.2" customHeight="1">
      <c r="A21" s="39"/>
      <c r="B21" s="53" t="s">
        <v>151</v>
      </c>
      <c r="C21" s="58">
        <v>22</v>
      </c>
      <c r="D21" s="37">
        <v>22</v>
      </c>
      <c r="E21" s="59">
        <v>12</v>
      </c>
      <c r="F21" s="58">
        <v>25</v>
      </c>
      <c r="G21" s="37">
        <v>25</v>
      </c>
      <c r="H21" s="59">
        <v>15</v>
      </c>
      <c r="I21" s="58">
        <v>22</v>
      </c>
      <c r="J21" s="37">
        <v>22</v>
      </c>
      <c r="K21" s="59">
        <v>12</v>
      </c>
      <c r="L21" s="58">
        <v>25</v>
      </c>
      <c r="M21" s="37">
        <v>25</v>
      </c>
      <c r="N21" s="59">
        <v>15</v>
      </c>
      <c r="O21" s="39"/>
      <c r="P21" s="37">
        <v>13</v>
      </c>
      <c r="Q21" s="37">
        <v>13</v>
      </c>
      <c r="R21" s="37">
        <v>5</v>
      </c>
      <c r="S21" s="39"/>
      <c r="T21" s="37"/>
      <c r="U21" s="37"/>
      <c r="V21" s="37"/>
      <c r="W21" s="12"/>
      <c r="X21" s="37"/>
      <c r="Y21" s="37"/>
      <c r="Z21" s="37"/>
      <c r="AA21" s="12"/>
      <c r="AB21" s="37">
        <v>8</v>
      </c>
      <c r="AC21" s="37"/>
      <c r="AD21" s="37"/>
      <c r="AE21" s="37">
        <v>8</v>
      </c>
      <c r="AF21" s="37">
        <v>8</v>
      </c>
      <c r="AG21" s="37"/>
      <c r="AH21" s="12"/>
      <c r="AI21" s="37">
        <v>3</v>
      </c>
      <c r="AJ21" s="37">
        <v>3</v>
      </c>
      <c r="AK21" s="37"/>
      <c r="AL21" s="12"/>
      <c r="AM21" s="51">
        <f t="shared" si="9"/>
        <v>30</v>
      </c>
      <c r="AN21" s="51">
        <f t="shared" si="9"/>
        <v>22</v>
      </c>
      <c r="AO21" s="51">
        <f t="shared" si="9"/>
        <v>12</v>
      </c>
      <c r="AP21" s="37">
        <f t="shared" si="10"/>
        <v>36</v>
      </c>
      <c r="AQ21" s="37">
        <f t="shared" si="11"/>
        <v>36</v>
      </c>
      <c r="AR21" s="37">
        <f t="shared" si="12"/>
        <v>15</v>
      </c>
      <c r="AS21" s="37">
        <f t="shared" si="13"/>
        <v>49</v>
      </c>
      <c r="AT21" s="37">
        <f t="shared" si="14"/>
        <v>49</v>
      </c>
      <c r="AU21" s="37">
        <f t="shared" si="15"/>
        <v>20</v>
      </c>
      <c r="AV21" s="37"/>
      <c r="AW21" s="37"/>
      <c r="AX21" s="37"/>
      <c r="AY21" s="37"/>
      <c r="AZ21" s="37"/>
      <c r="BA21" s="37"/>
      <c r="BB21" s="37"/>
      <c r="BC21" s="37"/>
      <c r="BD21" s="37"/>
    </row>
    <row r="22" spans="1:56" ht="13.2" customHeight="1">
      <c r="A22" s="39"/>
      <c r="B22" s="53" t="s">
        <v>7</v>
      </c>
      <c r="C22" s="58">
        <v>22</v>
      </c>
      <c r="D22" s="37">
        <v>22</v>
      </c>
      <c r="E22" s="59">
        <v>12</v>
      </c>
      <c r="F22" s="58">
        <v>25</v>
      </c>
      <c r="G22" s="37">
        <v>25</v>
      </c>
      <c r="H22" s="59">
        <v>15</v>
      </c>
      <c r="I22" s="58">
        <v>22</v>
      </c>
      <c r="J22" s="37">
        <v>22</v>
      </c>
      <c r="K22" s="59">
        <v>12</v>
      </c>
      <c r="L22" s="58">
        <v>25</v>
      </c>
      <c r="M22" s="37">
        <v>25</v>
      </c>
      <c r="N22" s="59">
        <v>15</v>
      </c>
      <c r="O22" s="39"/>
      <c r="P22" s="37">
        <v>13</v>
      </c>
      <c r="Q22" s="37">
        <v>13</v>
      </c>
      <c r="R22" s="37">
        <v>5</v>
      </c>
      <c r="S22" s="39"/>
      <c r="T22" s="37">
        <v>5</v>
      </c>
      <c r="U22" s="37">
        <v>5</v>
      </c>
      <c r="V22" s="37"/>
      <c r="W22" s="12"/>
      <c r="X22" s="37"/>
      <c r="Y22" s="37"/>
      <c r="Z22" s="37"/>
      <c r="AA22" s="12"/>
      <c r="AB22" s="37">
        <v>5</v>
      </c>
      <c r="AC22" s="37"/>
      <c r="AD22" s="37"/>
      <c r="AE22" s="37">
        <v>5</v>
      </c>
      <c r="AF22" s="37">
        <v>5</v>
      </c>
      <c r="AG22" s="37"/>
      <c r="AH22" s="12"/>
      <c r="AI22" s="37">
        <v>3</v>
      </c>
      <c r="AJ22" s="37">
        <v>3</v>
      </c>
      <c r="AK22" s="37"/>
      <c r="AL22" s="12"/>
      <c r="AM22" s="51">
        <f t="shared" si="9"/>
        <v>27</v>
      </c>
      <c r="AN22" s="51">
        <f t="shared" si="9"/>
        <v>22</v>
      </c>
      <c r="AO22" s="51">
        <f t="shared" si="9"/>
        <v>12</v>
      </c>
      <c r="AP22" s="37">
        <f t="shared" si="10"/>
        <v>33</v>
      </c>
      <c r="AQ22" s="37">
        <f t="shared" si="11"/>
        <v>33</v>
      </c>
      <c r="AR22" s="37">
        <f t="shared" si="12"/>
        <v>15</v>
      </c>
      <c r="AS22" s="37">
        <f t="shared" si="13"/>
        <v>51</v>
      </c>
      <c r="AT22" s="37">
        <f t="shared" si="14"/>
        <v>51</v>
      </c>
      <c r="AU22" s="37">
        <f t="shared" si="15"/>
        <v>20</v>
      </c>
      <c r="AV22" s="37"/>
      <c r="AW22" s="37"/>
      <c r="AX22" s="37"/>
      <c r="AY22" s="37"/>
      <c r="AZ22" s="37"/>
      <c r="BA22" s="37"/>
      <c r="BB22" s="37"/>
      <c r="BC22" s="37"/>
      <c r="BD22" s="37"/>
    </row>
    <row r="23" spans="1:56" ht="13.2" customHeight="1">
      <c r="A23" s="39"/>
      <c r="B23" s="53" t="s">
        <v>24</v>
      </c>
      <c r="C23" s="58">
        <v>22</v>
      </c>
      <c r="D23" s="37">
        <v>22</v>
      </c>
      <c r="E23" s="59">
        <v>12</v>
      </c>
      <c r="F23" s="58">
        <v>25</v>
      </c>
      <c r="G23" s="37">
        <v>25</v>
      </c>
      <c r="H23" s="59">
        <v>15</v>
      </c>
      <c r="I23" s="58">
        <v>22</v>
      </c>
      <c r="J23" s="37">
        <v>22</v>
      </c>
      <c r="K23" s="59">
        <v>12</v>
      </c>
      <c r="L23" s="58">
        <v>25</v>
      </c>
      <c r="M23" s="37">
        <v>25</v>
      </c>
      <c r="N23" s="59">
        <v>15</v>
      </c>
      <c r="O23" s="39"/>
      <c r="P23" s="37">
        <v>13</v>
      </c>
      <c r="Q23" s="37">
        <v>13</v>
      </c>
      <c r="R23" s="37">
        <v>5</v>
      </c>
      <c r="S23" s="39"/>
      <c r="T23" s="37">
        <v>5</v>
      </c>
      <c r="U23" s="37">
        <v>5</v>
      </c>
      <c r="V23" s="37"/>
      <c r="W23" s="12"/>
      <c r="X23" s="37"/>
      <c r="Y23" s="37"/>
      <c r="Z23" s="37"/>
      <c r="AA23" s="12"/>
      <c r="AB23" s="37">
        <v>5</v>
      </c>
      <c r="AC23" s="37"/>
      <c r="AD23" s="37"/>
      <c r="AE23" s="37">
        <v>5</v>
      </c>
      <c r="AF23" s="37">
        <v>5</v>
      </c>
      <c r="AG23" s="37"/>
      <c r="AH23" s="12"/>
      <c r="AI23" s="37">
        <v>3</v>
      </c>
      <c r="AJ23" s="37">
        <v>3</v>
      </c>
      <c r="AK23" s="37"/>
      <c r="AL23" s="12"/>
      <c r="AM23" s="51">
        <f t="shared" si="9"/>
        <v>27</v>
      </c>
      <c r="AN23" s="51">
        <f t="shared" si="9"/>
        <v>22</v>
      </c>
      <c r="AO23" s="51">
        <f t="shared" si="9"/>
        <v>12</v>
      </c>
      <c r="AP23" s="37">
        <f t="shared" si="10"/>
        <v>33</v>
      </c>
      <c r="AQ23" s="37">
        <f t="shared" si="11"/>
        <v>33</v>
      </c>
      <c r="AR23" s="37">
        <f t="shared" si="12"/>
        <v>15</v>
      </c>
      <c r="AS23" s="37">
        <f t="shared" si="13"/>
        <v>51</v>
      </c>
      <c r="AT23" s="37">
        <f t="shared" si="14"/>
        <v>51</v>
      </c>
      <c r="AU23" s="37">
        <f t="shared" si="15"/>
        <v>20</v>
      </c>
      <c r="AV23" s="37"/>
      <c r="AW23" s="37"/>
      <c r="AX23" s="37"/>
      <c r="AY23" s="37"/>
      <c r="AZ23" s="37"/>
      <c r="BA23" s="37"/>
      <c r="BB23" s="37"/>
      <c r="BC23" s="37"/>
      <c r="BD23" s="37"/>
    </row>
    <row r="24" spans="1:56" ht="13.2" customHeight="1">
      <c r="B24" s="54" t="s">
        <v>28</v>
      </c>
      <c r="C24" s="58">
        <v>22</v>
      </c>
      <c r="D24" s="37">
        <v>22</v>
      </c>
      <c r="E24" s="59">
        <v>12</v>
      </c>
      <c r="F24" s="58">
        <v>25</v>
      </c>
      <c r="G24" s="37">
        <v>25</v>
      </c>
      <c r="H24" s="59">
        <v>15</v>
      </c>
      <c r="I24" s="58">
        <v>22</v>
      </c>
      <c r="J24" s="37">
        <v>22</v>
      </c>
      <c r="K24" s="59">
        <v>12</v>
      </c>
      <c r="L24" s="58">
        <v>25</v>
      </c>
      <c r="M24" s="37">
        <v>25</v>
      </c>
      <c r="N24" s="59">
        <v>15</v>
      </c>
      <c r="P24" s="37"/>
      <c r="Q24" s="37"/>
      <c r="R24" s="37"/>
      <c r="T24" s="37"/>
      <c r="U24" s="37"/>
      <c r="V24" s="37"/>
      <c r="W24" s="12"/>
      <c r="X24" s="37"/>
      <c r="Y24" s="37"/>
      <c r="Z24" s="37"/>
      <c r="AA24" s="12"/>
      <c r="AB24" s="37">
        <v>13</v>
      </c>
      <c r="AC24" s="37"/>
      <c r="AD24" s="37"/>
      <c r="AE24" s="37">
        <v>13</v>
      </c>
      <c r="AF24" s="37">
        <v>13</v>
      </c>
      <c r="AG24" s="37"/>
      <c r="AH24" s="12"/>
      <c r="AI24" s="37"/>
      <c r="AJ24" s="37"/>
      <c r="AK24" s="37"/>
      <c r="AL24" s="12"/>
      <c r="AM24" s="51">
        <f t="shared" si="9"/>
        <v>35</v>
      </c>
      <c r="AN24" s="51">
        <f t="shared" si="9"/>
        <v>22</v>
      </c>
      <c r="AO24" s="51">
        <f t="shared" si="9"/>
        <v>12</v>
      </c>
      <c r="AP24" s="37">
        <f t="shared" si="10"/>
        <v>38</v>
      </c>
      <c r="AQ24" s="37">
        <f t="shared" si="11"/>
        <v>38</v>
      </c>
      <c r="AR24" s="37">
        <f t="shared" si="12"/>
        <v>15</v>
      </c>
      <c r="AS24" s="37">
        <f t="shared" si="13"/>
        <v>38</v>
      </c>
      <c r="AT24" s="37">
        <f t="shared" si="14"/>
        <v>38</v>
      </c>
      <c r="AU24" s="37">
        <f t="shared" si="15"/>
        <v>15</v>
      </c>
      <c r="AV24" s="37"/>
      <c r="AW24" s="37"/>
      <c r="AX24" s="37"/>
      <c r="AY24" s="37"/>
      <c r="AZ24" s="37"/>
      <c r="BA24" s="37"/>
      <c r="BB24" s="37"/>
      <c r="BC24" s="37"/>
      <c r="BD24" s="37"/>
    </row>
    <row r="25" spans="1:56" ht="13.2" customHeight="1">
      <c r="B25" s="54" t="s">
        <v>26</v>
      </c>
      <c r="C25" s="58">
        <v>22</v>
      </c>
      <c r="D25" s="37">
        <v>22</v>
      </c>
      <c r="E25" s="59">
        <v>12</v>
      </c>
      <c r="F25" s="58">
        <v>25</v>
      </c>
      <c r="G25" s="37">
        <v>25</v>
      </c>
      <c r="H25" s="59">
        <v>15</v>
      </c>
      <c r="I25" s="58">
        <v>22</v>
      </c>
      <c r="J25" s="37">
        <v>22</v>
      </c>
      <c r="K25" s="59">
        <v>12</v>
      </c>
      <c r="L25" s="58">
        <v>25</v>
      </c>
      <c r="M25" s="37">
        <v>25</v>
      </c>
      <c r="N25" s="59">
        <v>15</v>
      </c>
      <c r="P25" s="37"/>
      <c r="Q25" s="37"/>
      <c r="R25" s="37"/>
      <c r="T25" s="37"/>
      <c r="U25" s="37"/>
      <c r="V25" s="37"/>
      <c r="W25" s="12"/>
      <c r="X25" s="37"/>
      <c r="Y25" s="37"/>
      <c r="Z25" s="37"/>
      <c r="AA25" s="12"/>
      <c r="AB25" s="37"/>
      <c r="AC25" s="37"/>
      <c r="AD25" s="37"/>
      <c r="AE25" s="37"/>
      <c r="AF25" s="37"/>
      <c r="AG25" s="37"/>
      <c r="AH25" s="12"/>
      <c r="AI25" s="37"/>
      <c r="AJ25" s="37"/>
      <c r="AK25" s="37"/>
      <c r="AL25" s="12"/>
      <c r="AM25" s="51">
        <f t="shared" si="9"/>
        <v>22</v>
      </c>
      <c r="AN25" s="51">
        <f t="shared" si="9"/>
        <v>22</v>
      </c>
      <c r="AO25" s="51">
        <f t="shared" si="9"/>
        <v>12</v>
      </c>
      <c r="AP25" s="37">
        <f t="shared" si="10"/>
        <v>25</v>
      </c>
      <c r="AQ25" s="37">
        <f t="shared" si="11"/>
        <v>25</v>
      </c>
      <c r="AR25" s="37">
        <f t="shared" si="12"/>
        <v>15</v>
      </c>
      <c r="AS25" s="37">
        <f t="shared" si="13"/>
        <v>25</v>
      </c>
      <c r="AT25" s="37">
        <f t="shared" si="14"/>
        <v>25</v>
      </c>
      <c r="AU25" s="37">
        <f t="shared" si="15"/>
        <v>15</v>
      </c>
      <c r="AV25" s="37"/>
      <c r="AW25" s="37"/>
      <c r="AX25" s="37"/>
      <c r="AY25" s="37"/>
      <c r="AZ25" s="37"/>
      <c r="BA25" s="37"/>
      <c r="BB25" s="37"/>
      <c r="BC25" s="37"/>
      <c r="BD25" s="37"/>
    </row>
    <row r="26" spans="1:56" ht="13.2" customHeight="1">
      <c r="B26" s="54" t="s">
        <v>27</v>
      </c>
      <c r="C26" s="58">
        <v>22</v>
      </c>
      <c r="D26" s="37">
        <v>22</v>
      </c>
      <c r="E26" s="59">
        <v>12</v>
      </c>
      <c r="F26" s="58">
        <v>25</v>
      </c>
      <c r="G26" s="37">
        <v>25</v>
      </c>
      <c r="H26" s="59">
        <v>15</v>
      </c>
      <c r="I26" s="58">
        <v>22</v>
      </c>
      <c r="J26" s="37">
        <v>22</v>
      </c>
      <c r="K26" s="59">
        <v>12</v>
      </c>
      <c r="L26" s="58">
        <v>25</v>
      </c>
      <c r="M26" s="37">
        <v>25</v>
      </c>
      <c r="N26" s="59">
        <v>15</v>
      </c>
      <c r="P26" s="37"/>
      <c r="Q26" s="37"/>
      <c r="R26" s="37"/>
      <c r="T26" s="37"/>
      <c r="U26" s="37"/>
      <c r="V26" s="37"/>
      <c r="W26" s="12"/>
      <c r="X26" s="37"/>
      <c r="Y26" s="37"/>
      <c r="Z26" s="37"/>
      <c r="AA26" s="12"/>
      <c r="AB26" s="37"/>
      <c r="AC26" s="37"/>
      <c r="AD26" s="37"/>
      <c r="AE26" s="37"/>
      <c r="AF26" s="37"/>
      <c r="AG26" s="37"/>
      <c r="AH26" s="12"/>
      <c r="AI26" s="37"/>
      <c r="AJ26" s="37"/>
      <c r="AK26" s="37"/>
      <c r="AL26" s="12"/>
      <c r="AM26" s="51">
        <f t="shared" si="9"/>
        <v>22</v>
      </c>
      <c r="AN26" s="51">
        <f t="shared" si="9"/>
        <v>22</v>
      </c>
      <c r="AO26" s="51">
        <f t="shared" si="9"/>
        <v>12</v>
      </c>
      <c r="AP26" s="37">
        <f t="shared" si="10"/>
        <v>25</v>
      </c>
      <c r="AQ26" s="37">
        <f t="shared" si="11"/>
        <v>25</v>
      </c>
      <c r="AR26" s="37">
        <f t="shared" si="12"/>
        <v>15</v>
      </c>
      <c r="AS26" s="37">
        <f t="shared" si="13"/>
        <v>25</v>
      </c>
      <c r="AT26" s="37">
        <f t="shared" si="14"/>
        <v>25</v>
      </c>
      <c r="AU26" s="37">
        <f t="shared" si="15"/>
        <v>15</v>
      </c>
      <c r="AV26" s="37"/>
      <c r="AW26" s="37"/>
      <c r="AX26" s="37"/>
      <c r="AY26" s="37"/>
      <c r="AZ26" s="37"/>
      <c r="BA26" s="37"/>
      <c r="BB26" s="37"/>
      <c r="BC26" s="37"/>
      <c r="BD26" s="37"/>
    </row>
    <row r="27" spans="1:56" ht="13.2" customHeight="1">
      <c r="A27" s="39"/>
      <c r="B27" s="53" t="s">
        <v>14</v>
      </c>
      <c r="C27" s="58">
        <v>22</v>
      </c>
      <c r="D27" s="37">
        <v>22</v>
      </c>
      <c r="E27" s="59">
        <v>12</v>
      </c>
      <c r="F27" s="58">
        <v>25</v>
      </c>
      <c r="G27" s="37">
        <v>25</v>
      </c>
      <c r="H27" s="59">
        <v>15</v>
      </c>
      <c r="I27" s="58">
        <v>22</v>
      </c>
      <c r="J27" s="37">
        <v>22</v>
      </c>
      <c r="K27" s="59">
        <v>12</v>
      </c>
      <c r="L27" s="58">
        <v>25</v>
      </c>
      <c r="M27" s="37">
        <v>25</v>
      </c>
      <c r="N27" s="59">
        <v>15</v>
      </c>
      <c r="O27" s="39"/>
      <c r="P27" s="38"/>
      <c r="Q27" s="38"/>
      <c r="R27" s="38"/>
      <c r="S27" s="39"/>
      <c r="T27" s="38"/>
      <c r="U27" s="38"/>
      <c r="V27" s="38"/>
      <c r="W27" s="12"/>
      <c r="X27" s="38"/>
      <c r="Y27" s="38"/>
      <c r="Z27" s="38"/>
      <c r="AA27" s="12"/>
      <c r="AB27" s="38">
        <v>15</v>
      </c>
      <c r="AC27" s="38">
        <v>15</v>
      </c>
      <c r="AD27" s="38"/>
      <c r="AE27" s="38">
        <v>15</v>
      </c>
      <c r="AF27" s="38">
        <v>15</v>
      </c>
      <c r="AG27" s="38"/>
      <c r="AH27" s="12"/>
      <c r="AI27" s="38"/>
      <c r="AJ27" s="38"/>
      <c r="AK27" s="38"/>
      <c r="AL27" s="12"/>
      <c r="AM27" s="51">
        <f t="shared" si="9"/>
        <v>37</v>
      </c>
      <c r="AN27" s="51">
        <f t="shared" si="9"/>
        <v>37</v>
      </c>
      <c r="AO27" s="51">
        <f t="shared" si="9"/>
        <v>12</v>
      </c>
      <c r="AP27" s="37">
        <f t="shared" si="10"/>
        <v>40</v>
      </c>
      <c r="AQ27" s="37">
        <f t="shared" si="11"/>
        <v>40</v>
      </c>
      <c r="AR27" s="37">
        <f t="shared" si="12"/>
        <v>15</v>
      </c>
      <c r="AS27" s="37">
        <f t="shared" si="13"/>
        <v>40</v>
      </c>
      <c r="AT27" s="37">
        <f t="shared" si="14"/>
        <v>40</v>
      </c>
      <c r="AU27" s="37">
        <f t="shared" si="15"/>
        <v>15</v>
      </c>
      <c r="AV27" s="37"/>
      <c r="AW27" s="37"/>
      <c r="AX27" s="37"/>
      <c r="AY27" s="37"/>
      <c r="AZ27" s="37"/>
      <c r="BA27" s="37"/>
      <c r="BB27" s="37"/>
      <c r="BC27" s="37"/>
      <c r="BD27" s="37"/>
    </row>
    <row r="28" spans="1:56" ht="13.2" customHeight="1">
      <c r="A28" s="39"/>
      <c r="B28" s="53" t="s">
        <v>12</v>
      </c>
      <c r="C28" s="58">
        <v>22</v>
      </c>
      <c r="D28" s="37">
        <v>22</v>
      </c>
      <c r="E28" s="59">
        <v>12</v>
      </c>
      <c r="F28" s="58">
        <v>25</v>
      </c>
      <c r="G28" s="37">
        <v>25</v>
      </c>
      <c r="H28" s="59">
        <v>15</v>
      </c>
      <c r="I28" s="58">
        <v>22</v>
      </c>
      <c r="J28" s="37">
        <v>22</v>
      </c>
      <c r="K28" s="59">
        <v>12</v>
      </c>
      <c r="L28" s="58">
        <v>25</v>
      </c>
      <c r="M28" s="37">
        <v>25</v>
      </c>
      <c r="N28" s="59">
        <v>15</v>
      </c>
      <c r="O28" s="39"/>
      <c r="P28" s="38"/>
      <c r="Q28" s="38"/>
      <c r="R28" s="38"/>
      <c r="S28" s="39"/>
      <c r="T28" s="38"/>
      <c r="U28" s="38"/>
      <c r="V28" s="38"/>
      <c r="W28" s="12"/>
      <c r="X28" s="38"/>
      <c r="Y28" s="38"/>
      <c r="Z28" s="38"/>
      <c r="AA28" s="12"/>
      <c r="AB28" s="38"/>
      <c r="AC28" s="38"/>
      <c r="AD28" s="38"/>
      <c r="AE28" s="38"/>
      <c r="AF28" s="38"/>
      <c r="AG28" s="38"/>
      <c r="AH28" s="12"/>
      <c r="AI28" s="38"/>
      <c r="AJ28" s="38"/>
      <c r="AK28" s="38"/>
      <c r="AL28" s="12"/>
      <c r="AM28" s="51">
        <f t="shared" si="9"/>
        <v>22</v>
      </c>
      <c r="AN28" s="51">
        <f t="shared" si="9"/>
        <v>22</v>
      </c>
      <c r="AO28" s="51">
        <f t="shared" si="9"/>
        <v>12</v>
      </c>
      <c r="AP28" s="37">
        <f t="shared" si="10"/>
        <v>25</v>
      </c>
      <c r="AQ28" s="37">
        <f t="shared" si="11"/>
        <v>25</v>
      </c>
      <c r="AR28" s="37">
        <f t="shared" si="12"/>
        <v>15</v>
      </c>
      <c r="AS28" s="37">
        <f t="shared" si="13"/>
        <v>25</v>
      </c>
      <c r="AT28" s="37">
        <f t="shared" si="14"/>
        <v>25</v>
      </c>
      <c r="AU28" s="37">
        <f t="shared" si="15"/>
        <v>15</v>
      </c>
      <c r="AV28" s="37"/>
      <c r="AW28" s="37"/>
      <c r="AX28" s="37"/>
      <c r="AY28" s="37"/>
      <c r="AZ28" s="37"/>
      <c r="BA28" s="37"/>
      <c r="BB28" s="37"/>
      <c r="BC28" s="37"/>
      <c r="BD28" s="37"/>
    </row>
    <row r="29" spans="1:56" ht="13.2" customHeight="1">
      <c r="A29" s="39"/>
      <c r="B29" s="53" t="s">
        <v>15</v>
      </c>
      <c r="C29" s="58">
        <v>22</v>
      </c>
      <c r="D29" s="37">
        <v>22</v>
      </c>
      <c r="E29" s="59">
        <v>12</v>
      </c>
      <c r="F29" s="58">
        <v>25</v>
      </c>
      <c r="G29" s="37">
        <v>25</v>
      </c>
      <c r="H29" s="59">
        <v>15</v>
      </c>
      <c r="I29" s="58">
        <v>22</v>
      </c>
      <c r="J29" s="37">
        <v>22</v>
      </c>
      <c r="K29" s="59">
        <v>12</v>
      </c>
      <c r="L29" s="58">
        <v>25</v>
      </c>
      <c r="M29" s="37">
        <v>25</v>
      </c>
      <c r="N29" s="59">
        <v>15</v>
      </c>
      <c r="O29" s="39"/>
      <c r="P29" s="38"/>
      <c r="Q29" s="38"/>
      <c r="R29" s="38"/>
      <c r="S29" s="39"/>
      <c r="T29" s="38"/>
      <c r="U29" s="38"/>
      <c r="V29" s="38"/>
      <c r="W29" s="12"/>
      <c r="X29" s="38"/>
      <c r="Y29" s="38"/>
      <c r="Z29" s="38"/>
      <c r="AA29" s="12"/>
      <c r="AB29" s="38">
        <v>15</v>
      </c>
      <c r="AC29" s="38">
        <v>15</v>
      </c>
      <c r="AD29" s="38"/>
      <c r="AE29" s="38">
        <v>15</v>
      </c>
      <c r="AF29" s="38">
        <v>15</v>
      </c>
      <c r="AG29" s="38"/>
      <c r="AH29" s="12"/>
      <c r="AI29" s="38"/>
      <c r="AJ29" s="38"/>
      <c r="AK29" s="38"/>
      <c r="AL29" s="12"/>
      <c r="AM29" s="51">
        <f t="shared" si="9"/>
        <v>37</v>
      </c>
      <c r="AN29" s="51">
        <f t="shared" si="9"/>
        <v>37</v>
      </c>
      <c r="AO29" s="51">
        <f t="shared" si="9"/>
        <v>12</v>
      </c>
      <c r="AP29" s="37">
        <f t="shared" si="10"/>
        <v>40</v>
      </c>
      <c r="AQ29" s="37">
        <f t="shared" si="11"/>
        <v>40</v>
      </c>
      <c r="AR29" s="37">
        <f t="shared" si="12"/>
        <v>15</v>
      </c>
      <c r="AS29" s="37">
        <f t="shared" si="13"/>
        <v>40</v>
      </c>
      <c r="AT29" s="37">
        <f t="shared" si="14"/>
        <v>40</v>
      </c>
      <c r="AU29" s="37">
        <f t="shared" si="15"/>
        <v>15</v>
      </c>
      <c r="AV29" s="37"/>
      <c r="AW29" s="37"/>
      <c r="AX29" s="37"/>
      <c r="AY29" s="37"/>
      <c r="AZ29" s="37"/>
      <c r="BA29" s="37"/>
      <c r="BB29" s="37"/>
      <c r="BC29" s="37"/>
      <c r="BD29" s="37"/>
    </row>
    <row r="30" spans="1:56" ht="13.2" customHeight="1">
      <c r="B30" s="54" t="s">
        <v>152</v>
      </c>
      <c r="C30" s="58">
        <v>22</v>
      </c>
      <c r="D30" s="37">
        <v>22</v>
      </c>
      <c r="E30" s="59">
        <v>12</v>
      </c>
      <c r="F30" s="58">
        <v>25</v>
      </c>
      <c r="G30" s="37">
        <v>25</v>
      </c>
      <c r="H30" s="59">
        <v>15</v>
      </c>
      <c r="I30" s="58">
        <v>22</v>
      </c>
      <c r="J30" s="37">
        <v>22</v>
      </c>
      <c r="K30" s="59">
        <v>12</v>
      </c>
      <c r="L30" s="58">
        <v>25</v>
      </c>
      <c r="M30" s="37">
        <v>25</v>
      </c>
      <c r="N30" s="59">
        <v>15</v>
      </c>
      <c r="P30" s="37"/>
      <c r="Q30" s="37"/>
      <c r="R30" s="37"/>
      <c r="T30" s="37"/>
      <c r="U30" s="37"/>
      <c r="V30" s="37"/>
      <c r="W30" s="12"/>
      <c r="X30" s="37"/>
      <c r="Y30" s="37"/>
      <c r="Z30" s="37"/>
      <c r="AA30" s="12"/>
      <c r="AB30" s="37"/>
      <c r="AC30" s="37"/>
      <c r="AD30" s="37"/>
      <c r="AE30" s="37"/>
      <c r="AF30" s="37"/>
      <c r="AG30" s="37"/>
      <c r="AH30" s="12"/>
      <c r="AI30" s="37"/>
      <c r="AJ30" s="37"/>
      <c r="AK30" s="37"/>
      <c r="AL30" s="12"/>
      <c r="AM30" s="51">
        <f t="shared" si="9"/>
        <v>22</v>
      </c>
      <c r="AN30" s="51">
        <f t="shared" si="9"/>
        <v>22</v>
      </c>
      <c r="AO30" s="51">
        <f t="shared" si="9"/>
        <v>12</v>
      </c>
      <c r="AP30" s="37">
        <f t="shared" si="10"/>
        <v>25</v>
      </c>
      <c r="AQ30" s="37">
        <f t="shared" si="11"/>
        <v>25</v>
      </c>
      <c r="AR30" s="37">
        <f t="shared" si="12"/>
        <v>15</v>
      </c>
      <c r="AS30" s="37">
        <f t="shared" si="13"/>
        <v>25</v>
      </c>
      <c r="AT30" s="37">
        <f t="shared" si="14"/>
        <v>25</v>
      </c>
      <c r="AU30" s="37">
        <f t="shared" si="15"/>
        <v>15</v>
      </c>
      <c r="AV30" s="37"/>
      <c r="AW30" s="37"/>
      <c r="AX30" s="37"/>
      <c r="AY30" s="37"/>
      <c r="AZ30" s="37"/>
      <c r="BA30" s="37"/>
      <c r="BB30" s="37"/>
      <c r="BC30" s="37"/>
      <c r="BD30" s="37"/>
    </row>
    <row r="31" spans="1:56" ht="13.2" customHeight="1">
      <c r="B31" s="54" t="s">
        <v>153</v>
      </c>
      <c r="C31" s="58">
        <v>22</v>
      </c>
      <c r="D31" s="37">
        <v>22</v>
      </c>
      <c r="E31" s="59">
        <v>12</v>
      </c>
      <c r="F31" s="58">
        <v>25</v>
      </c>
      <c r="G31" s="37">
        <v>25</v>
      </c>
      <c r="H31" s="59">
        <v>15</v>
      </c>
      <c r="I31" s="58">
        <v>22</v>
      </c>
      <c r="J31" s="37">
        <v>22</v>
      </c>
      <c r="K31" s="59">
        <v>12</v>
      </c>
      <c r="L31" s="58">
        <v>25</v>
      </c>
      <c r="M31" s="37">
        <v>25</v>
      </c>
      <c r="N31" s="59">
        <v>15</v>
      </c>
      <c r="P31" s="37"/>
      <c r="Q31" s="37"/>
      <c r="R31" s="37"/>
      <c r="T31" s="37"/>
      <c r="U31" s="37"/>
      <c r="V31" s="37"/>
      <c r="W31" s="12"/>
      <c r="X31" s="37"/>
      <c r="Y31" s="37"/>
      <c r="Z31" s="37"/>
      <c r="AA31" s="12"/>
      <c r="AB31" s="38">
        <v>15</v>
      </c>
      <c r="AC31" s="38">
        <v>15</v>
      </c>
      <c r="AD31" s="37"/>
      <c r="AE31" s="37">
        <v>15</v>
      </c>
      <c r="AF31" s="37">
        <v>15</v>
      </c>
      <c r="AG31" s="37"/>
      <c r="AH31" s="12"/>
      <c r="AI31" s="37"/>
      <c r="AJ31" s="37"/>
      <c r="AK31" s="37"/>
      <c r="AL31" s="12"/>
      <c r="AM31" s="51">
        <f t="shared" si="9"/>
        <v>37</v>
      </c>
      <c r="AN31" s="51">
        <f t="shared" si="9"/>
        <v>37</v>
      </c>
      <c r="AO31" s="51">
        <f t="shared" si="9"/>
        <v>12</v>
      </c>
      <c r="AP31" s="37">
        <f t="shared" si="10"/>
        <v>40</v>
      </c>
      <c r="AQ31" s="37">
        <f t="shared" si="11"/>
        <v>40</v>
      </c>
      <c r="AR31" s="37">
        <f t="shared" si="12"/>
        <v>15</v>
      </c>
      <c r="AS31" s="37">
        <f t="shared" si="13"/>
        <v>40</v>
      </c>
      <c r="AT31" s="37">
        <f t="shared" si="14"/>
        <v>40</v>
      </c>
      <c r="AU31" s="37">
        <f t="shared" si="15"/>
        <v>15</v>
      </c>
      <c r="AV31" s="37"/>
      <c r="AW31" s="37"/>
      <c r="AX31" s="37"/>
      <c r="AY31" s="37"/>
      <c r="AZ31" s="37"/>
      <c r="BA31" s="37"/>
      <c r="BB31" s="37"/>
      <c r="BC31" s="37"/>
      <c r="BD31" s="37"/>
    </row>
    <row r="32" spans="1:56" ht="13.2" customHeight="1">
      <c r="B32" s="54" t="s">
        <v>23</v>
      </c>
      <c r="C32" s="58">
        <v>22</v>
      </c>
      <c r="D32" s="37">
        <v>22</v>
      </c>
      <c r="E32" s="59">
        <v>12</v>
      </c>
      <c r="F32" s="58">
        <v>25</v>
      </c>
      <c r="G32" s="37">
        <v>25</v>
      </c>
      <c r="H32" s="59">
        <v>15</v>
      </c>
      <c r="I32" s="58">
        <v>22</v>
      </c>
      <c r="J32" s="37">
        <v>22</v>
      </c>
      <c r="K32" s="59">
        <v>12</v>
      </c>
      <c r="L32" s="58">
        <v>25</v>
      </c>
      <c r="M32" s="37">
        <v>25</v>
      </c>
      <c r="N32" s="59">
        <v>15</v>
      </c>
      <c r="P32" s="37"/>
      <c r="Q32" s="37"/>
      <c r="R32" s="37"/>
      <c r="T32" s="37"/>
      <c r="U32" s="37"/>
      <c r="V32" s="37"/>
      <c r="W32" s="12"/>
      <c r="X32" s="37"/>
      <c r="Y32" s="37"/>
      <c r="Z32" s="37"/>
      <c r="AA32" s="12"/>
      <c r="AB32" s="37"/>
      <c r="AC32" s="37"/>
      <c r="AD32" s="37"/>
      <c r="AE32" s="37"/>
      <c r="AF32" s="37"/>
      <c r="AG32" s="37"/>
      <c r="AH32" s="12"/>
      <c r="AI32" s="37"/>
      <c r="AJ32" s="37"/>
      <c r="AK32" s="37"/>
      <c r="AL32" s="12"/>
      <c r="AM32" s="51">
        <f t="shared" si="9"/>
        <v>22</v>
      </c>
      <c r="AN32" s="51">
        <f t="shared" si="9"/>
        <v>22</v>
      </c>
      <c r="AO32" s="51">
        <f t="shared" si="9"/>
        <v>12</v>
      </c>
      <c r="AP32" s="37">
        <f t="shared" si="10"/>
        <v>25</v>
      </c>
      <c r="AQ32" s="37">
        <f t="shared" si="11"/>
        <v>25</v>
      </c>
      <c r="AR32" s="37">
        <f t="shared" si="12"/>
        <v>15</v>
      </c>
      <c r="AS32" s="37">
        <f t="shared" si="13"/>
        <v>25</v>
      </c>
      <c r="AT32" s="37">
        <f t="shared" si="14"/>
        <v>25</v>
      </c>
      <c r="AU32" s="37">
        <f t="shared" si="15"/>
        <v>15</v>
      </c>
      <c r="AV32" s="37"/>
      <c r="AW32" s="37"/>
      <c r="AX32" s="37"/>
      <c r="AY32" s="37"/>
      <c r="AZ32" s="37"/>
      <c r="BA32" s="37"/>
      <c r="BB32" s="37"/>
      <c r="BC32" s="37"/>
      <c r="BD32" s="37"/>
    </row>
    <row r="33" spans="1:56" ht="13.2" customHeight="1">
      <c r="A33" s="39"/>
      <c r="B33" s="53" t="s">
        <v>13</v>
      </c>
      <c r="C33" s="58">
        <v>22</v>
      </c>
      <c r="D33" s="37">
        <v>22</v>
      </c>
      <c r="E33" s="59">
        <v>12</v>
      </c>
      <c r="F33" s="58">
        <v>25</v>
      </c>
      <c r="G33" s="37">
        <v>25</v>
      </c>
      <c r="H33" s="59">
        <v>15</v>
      </c>
      <c r="I33" s="58">
        <v>22</v>
      </c>
      <c r="J33" s="37">
        <v>22</v>
      </c>
      <c r="K33" s="59">
        <v>12</v>
      </c>
      <c r="L33" s="58">
        <v>25</v>
      </c>
      <c r="M33" s="37">
        <v>25</v>
      </c>
      <c r="N33" s="59">
        <v>15</v>
      </c>
      <c r="O33" s="39"/>
      <c r="P33" s="38">
        <v>13</v>
      </c>
      <c r="Q33" s="38">
        <v>13</v>
      </c>
      <c r="R33" s="38">
        <v>5</v>
      </c>
      <c r="S33" s="39"/>
      <c r="T33" s="37">
        <v>5</v>
      </c>
      <c r="U33" s="37">
        <v>5</v>
      </c>
      <c r="V33" s="38"/>
      <c r="W33" s="12"/>
      <c r="X33" s="37">
        <v>5</v>
      </c>
      <c r="Y33" s="37">
        <v>5</v>
      </c>
      <c r="Z33" s="38"/>
      <c r="AA33" s="12"/>
      <c r="AB33" s="38"/>
      <c r="AC33" s="38"/>
      <c r="AD33" s="38"/>
      <c r="AE33" s="38">
        <v>8</v>
      </c>
      <c r="AF33" s="38">
        <v>8</v>
      </c>
      <c r="AG33" s="38"/>
      <c r="AH33" s="12"/>
      <c r="AI33" s="38"/>
      <c r="AJ33" s="38"/>
      <c r="AK33" s="38"/>
      <c r="AL33" s="12"/>
      <c r="AM33" s="51">
        <f t="shared" si="9"/>
        <v>22</v>
      </c>
      <c r="AN33" s="51">
        <f t="shared" si="9"/>
        <v>22</v>
      </c>
      <c r="AO33" s="51">
        <f t="shared" si="9"/>
        <v>12</v>
      </c>
      <c r="AP33" s="37">
        <f t="shared" si="10"/>
        <v>33</v>
      </c>
      <c r="AQ33" s="37">
        <f t="shared" si="11"/>
        <v>33</v>
      </c>
      <c r="AR33" s="37">
        <f t="shared" si="12"/>
        <v>15</v>
      </c>
      <c r="AS33" s="37">
        <f t="shared" si="13"/>
        <v>51</v>
      </c>
      <c r="AT33" s="37">
        <f t="shared" si="14"/>
        <v>51</v>
      </c>
      <c r="AU33" s="37">
        <f t="shared" si="15"/>
        <v>20</v>
      </c>
      <c r="AV33" s="37"/>
      <c r="AW33" s="37"/>
      <c r="AX33" s="37"/>
      <c r="AY33" s="37"/>
      <c r="AZ33" s="37"/>
      <c r="BA33" s="37"/>
      <c r="BB33" s="37"/>
      <c r="BC33" s="37"/>
      <c r="BD33" s="37"/>
    </row>
    <row r="34" spans="1:56" ht="13.2" customHeight="1">
      <c r="B34" s="54" t="s">
        <v>154</v>
      </c>
      <c r="C34" s="58">
        <v>22</v>
      </c>
      <c r="D34" s="37">
        <v>22</v>
      </c>
      <c r="E34" s="59">
        <v>12</v>
      </c>
      <c r="F34" s="58">
        <v>25</v>
      </c>
      <c r="G34" s="37">
        <v>25</v>
      </c>
      <c r="H34" s="59">
        <v>15</v>
      </c>
      <c r="I34" s="58">
        <v>22</v>
      </c>
      <c r="J34" s="37">
        <v>22</v>
      </c>
      <c r="K34" s="59">
        <v>12</v>
      </c>
      <c r="L34" s="58">
        <v>25</v>
      </c>
      <c r="M34" s="37">
        <v>25</v>
      </c>
      <c r="N34" s="59">
        <v>15</v>
      </c>
      <c r="P34" s="37">
        <v>13</v>
      </c>
      <c r="Q34" s="37">
        <v>13</v>
      </c>
      <c r="R34" s="37"/>
      <c r="T34" s="37">
        <v>5</v>
      </c>
      <c r="U34" s="37">
        <v>5</v>
      </c>
      <c r="V34" s="37"/>
      <c r="W34" s="12"/>
      <c r="X34" s="37">
        <v>5</v>
      </c>
      <c r="Y34" s="37">
        <v>5</v>
      </c>
      <c r="Z34" s="37"/>
      <c r="AA34" s="12"/>
      <c r="AB34" s="37"/>
      <c r="AC34" s="37"/>
      <c r="AD34" s="37"/>
      <c r="AE34" s="37"/>
      <c r="AF34" s="37"/>
      <c r="AG34" s="37"/>
      <c r="AH34" s="12"/>
      <c r="AI34" s="37"/>
      <c r="AJ34" s="37"/>
      <c r="AK34" s="37"/>
      <c r="AL34" s="12"/>
      <c r="AM34" s="51">
        <f t="shared" si="9"/>
        <v>22</v>
      </c>
      <c r="AN34" s="51">
        <f t="shared" si="9"/>
        <v>22</v>
      </c>
      <c r="AO34" s="51">
        <f t="shared" si="9"/>
        <v>12</v>
      </c>
      <c r="AP34" s="37">
        <f t="shared" si="10"/>
        <v>25</v>
      </c>
      <c r="AQ34" s="37">
        <f t="shared" si="11"/>
        <v>25</v>
      </c>
      <c r="AR34" s="37">
        <f t="shared" si="12"/>
        <v>15</v>
      </c>
      <c r="AS34" s="37">
        <f t="shared" si="13"/>
        <v>43</v>
      </c>
      <c r="AT34" s="37">
        <f t="shared" si="14"/>
        <v>43</v>
      </c>
      <c r="AU34" s="37">
        <f t="shared" si="15"/>
        <v>15</v>
      </c>
      <c r="AV34" s="37"/>
      <c r="AW34" s="37"/>
      <c r="AX34" s="37"/>
      <c r="AY34" s="37"/>
      <c r="AZ34" s="37"/>
      <c r="BA34" s="37"/>
      <c r="BB34" s="37"/>
      <c r="BC34" s="37"/>
      <c r="BD34" s="37"/>
    </row>
    <row r="35" spans="1:56" ht="13.2" customHeight="1">
      <c r="B35" s="54" t="s">
        <v>173</v>
      </c>
      <c r="C35" s="58">
        <v>22</v>
      </c>
      <c r="D35" s="37">
        <v>22</v>
      </c>
      <c r="E35" s="59">
        <v>12</v>
      </c>
      <c r="F35" s="58">
        <v>25</v>
      </c>
      <c r="G35" s="37">
        <v>25</v>
      </c>
      <c r="H35" s="59">
        <v>15</v>
      </c>
      <c r="I35" s="58">
        <v>22</v>
      </c>
      <c r="J35" s="37">
        <v>22</v>
      </c>
      <c r="K35" s="59">
        <v>12</v>
      </c>
      <c r="L35" s="58">
        <v>25</v>
      </c>
      <c r="M35" s="37">
        <v>25</v>
      </c>
      <c r="N35" s="59">
        <v>15</v>
      </c>
      <c r="P35" s="37"/>
      <c r="Q35" s="37"/>
      <c r="R35" s="37"/>
      <c r="T35" s="37"/>
      <c r="U35" s="37"/>
      <c r="V35" s="37"/>
      <c r="W35" s="12"/>
      <c r="X35" s="37"/>
      <c r="Y35" s="37"/>
      <c r="Z35" s="37"/>
      <c r="AA35" s="12"/>
      <c r="AB35" s="37"/>
      <c r="AC35" s="37"/>
      <c r="AD35" s="37"/>
      <c r="AE35" s="37"/>
      <c r="AF35" s="37"/>
      <c r="AG35" s="37"/>
      <c r="AH35" s="12"/>
      <c r="AI35" s="37"/>
      <c r="AJ35" s="37"/>
      <c r="AK35" s="37"/>
      <c r="AL35" s="12"/>
      <c r="AM35" s="51">
        <f t="shared" si="9"/>
        <v>22</v>
      </c>
      <c r="AN35" s="51">
        <f t="shared" si="9"/>
        <v>22</v>
      </c>
      <c r="AO35" s="51">
        <f t="shared" si="9"/>
        <v>12</v>
      </c>
      <c r="AP35" s="37">
        <f t="shared" si="10"/>
        <v>25</v>
      </c>
      <c r="AQ35" s="37">
        <f t="shared" si="11"/>
        <v>25</v>
      </c>
      <c r="AR35" s="37">
        <f t="shared" si="12"/>
        <v>15</v>
      </c>
      <c r="AS35" s="37">
        <f t="shared" si="13"/>
        <v>25</v>
      </c>
      <c r="AT35" s="37">
        <f t="shared" si="14"/>
        <v>25</v>
      </c>
      <c r="AU35" s="37">
        <f t="shared" si="15"/>
        <v>15</v>
      </c>
      <c r="AV35" s="37"/>
      <c r="AW35" s="37"/>
      <c r="AX35" s="37"/>
      <c r="AY35" s="37"/>
      <c r="AZ35" s="37"/>
      <c r="BA35" s="37"/>
      <c r="BB35" s="37"/>
      <c r="BC35" s="37"/>
      <c r="BD35" s="37"/>
    </row>
    <row r="36" spans="1:56" ht="13.2" customHeight="1">
      <c r="B36" s="54" t="s">
        <v>155</v>
      </c>
      <c r="C36" s="58">
        <v>22</v>
      </c>
      <c r="D36" s="37">
        <v>22</v>
      </c>
      <c r="E36" s="59">
        <v>12</v>
      </c>
      <c r="F36" s="58">
        <v>25</v>
      </c>
      <c r="G36" s="37">
        <v>25</v>
      </c>
      <c r="H36" s="59">
        <v>15</v>
      </c>
      <c r="I36" s="58">
        <v>22</v>
      </c>
      <c r="J36" s="37">
        <v>22</v>
      </c>
      <c r="K36" s="59">
        <v>12</v>
      </c>
      <c r="L36" s="58">
        <v>25</v>
      </c>
      <c r="M36" s="37">
        <v>25</v>
      </c>
      <c r="N36" s="59">
        <v>15</v>
      </c>
      <c r="P36" s="37"/>
      <c r="Q36" s="37"/>
      <c r="R36" s="37"/>
      <c r="T36" s="37"/>
      <c r="U36" s="37"/>
      <c r="V36" s="37"/>
      <c r="W36" s="12"/>
      <c r="X36" s="37"/>
      <c r="Y36" s="37"/>
      <c r="Z36" s="37"/>
      <c r="AA36" s="12"/>
      <c r="AB36" s="37"/>
      <c r="AC36" s="37"/>
      <c r="AD36" s="37"/>
      <c r="AE36" s="37"/>
      <c r="AF36" s="37"/>
      <c r="AG36" s="37"/>
      <c r="AH36" s="12"/>
      <c r="AI36" s="37"/>
      <c r="AJ36" s="37"/>
      <c r="AK36" s="37"/>
      <c r="AL36" s="12"/>
      <c r="AM36" s="51">
        <f t="shared" si="9"/>
        <v>22</v>
      </c>
      <c r="AN36" s="51">
        <f t="shared" si="9"/>
        <v>22</v>
      </c>
      <c r="AO36" s="51">
        <f t="shared" si="9"/>
        <v>12</v>
      </c>
      <c r="AP36" s="37">
        <f t="shared" si="10"/>
        <v>25</v>
      </c>
      <c r="AQ36" s="37">
        <f t="shared" si="11"/>
        <v>25</v>
      </c>
      <c r="AR36" s="37">
        <f t="shared" si="12"/>
        <v>15</v>
      </c>
      <c r="AS36" s="37">
        <f t="shared" si="13"/>
        <v>25</v>
      </c>
      <c r="AT36" s="37">
        <f t="shared" si="14"/>
        <v>25</v>
      </c>
      <c r="AU36" s="37">
        <f t="shared" si="15"/>
        <v>15</v>
      </c>
      <c r="AV36" s="37"/>
      <c r="AW36" s="37"/>
      <c r="AX36" s="37"/>
      <c r="AY36" s="37"/>
      <c r="AZ36" s="37"/>
      <c r="BA36" s="37"/>
      <c r="BB36" s="37"/>
      <c r="BC36" s="37"/>
      <c r="BD36" s="37"/>
    </row>
    <row r="37" spans="1:56" ht="13.2" customHeight="1">
      <c r="B37" s="54" t="s">
        <v>172</v>
      </c>
      <c r="C37" s="58">
        <v>22</v>
      </c>
      <c r="D37" s="37">
        <v>22</v>
      </c>
      <c r="E37" s="59">
        <v>12</v>
      </c>
      <c r="F37" s="58">
        <v>25</v>
      </c>
      <c r="G37" s="37">
        <v>25</v>
      </c>
      <c r="H37" s="59">
        <v>15</v>
      </c>
      <c r="I37" s="58">
        <v>22</v>
      </c>
      <c r="J37" s="37">
        <v>22</v>
      </c>
      <c r="K37" s="59">
        <v>12</v>
      </c>
      <c r="L37" s="58">
        <v>25</v>
      </c>
      <c r="M37" s="37">
        <v>25</v>
      </c>
      <c r="N37" s="59">
        <v>15</v>
      </c>
      <c r="P37" s="37"/>
      <c r="Q37" s="37"/>
      <c r="R37" s="37"/>
      <c r="T37" s="37"/>
      <c r="U37" s="37"/>
      <c r="V37" s="37"/>
      <c r="W37" s="12"/>
      <c r="X37" s="37"/>
      <c r="Y37" s="37"/>
      <c r="Z37" s="37"/>
      <c r="AA37" s="12"/>
      <c r="AB37" s="37"/>
      <c r="AC37" s="37"/>
      <c r="AD37" s="37"/>
      <c r="AE37" s="37"/>
      <c r="AF37" s="37"/>
      <c r="AG37" s="37"/>
      <c r="AH37" s="12"/>
      <c r="AI37" s="37"/>
      <c r="AJ37" s="37"/>
      <c r="AK37" s="37"/>
      <c r="AL37" s="12"/>
      <c r="AM37" s="51">
        <f t="shared" si="9"/>
        <v>22</v>
      </c>
      <c r="AN37" s="51">
        <f t="shared" si="9"/>
        <v>22</v>
      </c>
      <c r="AO37" s="51">
        <f t="shared" si="9"/>
        <v>12</v>
      </c>
      <c r="AP37" s="37">
        <f t="shared" si="10"/>
        <v>25</v>
      </c>
      <c r="AQ37" s="37">
        <f t="shared" si="11"/>
        <v>25</v>
      </c>
      <c r="AR37" s="37">
        <f t="shared" si="12"/>
        <v>15</v>
      </c>
      <c r="AS37" s="37">
        <f t="shared" si="13"/>
        <v>25</v>
      </c>
      <c r="AT37" s="37">
        <f t="shared" si="14"/>
        <v>25</v>
      </c>
      <c r="AU37" s="37">
        <f t="shared" si="15"/>
        <v>15</v>
      </c>
      <c r="AV37" s="37"/>
      <c r="AW37" s="37"/>
      <c r="AX37" s="37"/>
      <c r="AY37" s="37"/>
      <c r="AZ37" s="37"/>
      <c r="BA37" s="37"/>
      <c r="BB37" s="37"/>
      <c r="BC37" s="37"/>
      <c r="BD37" s="37"/>
    </row>
    <row r="38" spans="1:56" ht="13.2" customHeight="1">
      <c r="B38" s="54" t="s">
        <v>156</v>
      </c>
      <c r="C38" s="58">
        <v>22</v>
      </c>
      <c r="D38" s="37">
        <v>22</v>
      </c>
      <c r="E38" s="59">
        <v>12</v>
      </c>
      <c r="F38" s="58">
        <v>25</v>
      </c>
      <c r="G38" s="37">
        <v>25</v>
      </c>
      <c r="H38" s="59">
        <v>15</v>
      </c>
      <c r="I38" s="58">
        <v>22</v>
      </c>
      <c r="J38" s="37">
        <v>22</v>
      </c>
      <c r="K38" s="59">
        <v>12</v>
      </c>
      <c r="L38" s="58">
        <v>25</v>
      </c>
      <c r="M38" s="37">
        <v>25</v>
      </c>
      <c r="N38" s="59">
        <v>15</v>
      </c>
      <c r="P38" s="37"/>
      <c r="Q38" s="37"/>
      <c r="R38" s="37"/>
      <c r="T38" s="37"/>
      <c r="U38" s="37"/>
      <c r="V38" s="37"/>
      <c r="W38" s="12"/>
      <c r="X38" s="37"/>
      <c r="Y38" s="37"/>
      <c r="Z38" s="37"/>
      <c r="AA38" s="12"/>
      <c r="AB38" s="37"/>
      <c r="AC38" s="37"/>
      <c r="AD38" s="37"/>
      <c r="AE38" s="37"/>
      <c r="AF38" s="37"/>
      <c r="AG38" s="37"/>
      <c r="AH38" s="12"/>
      <c r="AI38" s="37"/>
      <c r="AJ38" s="37"/>
      <c r="AK38" s="37"/>
      <c r="AL38" s="12"/>
      <c r="AM38" s="51">
        <f t="shared" si="9"/>
        <v>22</v>
      </c>
      <c r="AN38" s="51">
        <f t="shared" si="9"/>
        <v>22</v>
      </c>
      <c r="AO38" s="51">
        <f t="shared" si="9"/>
        <v>12</v>
      </c>
      <c r="AP38" s="37">
        <f t="shared" si="10"/>
        <v>25</v>
      </c>
      <c r="AQ38" s="37">
        <f t="shared" si="11"/>
        <v>25</v>
      </c>
      <c r="AR38" s="37">
        <f t="shared" si="12"/>
        <v>15</v>
      </c>
      <c r="AS38" s="37">
        <f t="shared" si="13"/>
        <v>25</v>
      </c>
      <c r="AT38" s="37">
        <f t="shared" si="14"/>
        <v>25</v>
      </c>
      <c r="AU38" s="37">
        <f t="shared" si="15"/>
        <v>15</v>
      </c>
      <c r="AV38" s="37"/>
      <c r="AW38" s="37"/>
      <c r="AX38" s="37"/>
      <c r="AY38" s="37"/>
      <c r="AZ38" s="37"/>
      <c r="BA38" s="37"/>
      <c r="BB38" s="37"/>
      <c r="BC38" s="37"/>
      <c r="BD38" s="37"/>
    </row>
    <row r="39" spans="1:56" ht="13.2" customHeight="1">
      <c r="B39" s="54" t="s">
        <v>157</v>
      </c>
      <c r="C39" s="58">
        <v>22</v>
      </c>
      <c r="D39" s="37">
        <v>22</v>
      </c>
      <c r="E39" s="59">
        <v>12</v>
      </c>
      <c r="F39" s="58">
        <v>25</v>
      </c>
      <c r="G39" s="37">
        <v>25</v>
      </c>
      <c r="H39" s="59">
        <v>15</v>
      </c>
      <c r="I39" s="58">
        <v>22</v>
      </c>
      <c r="J39" s="37">
        <v>22</v>
      </c>
      <c r="K39" s="59">
        <v>12</v>
      </c>
      <c r="L39" s="58">
        <v>25</v>
      </c>
      <c r="M39" s="37">
        <v>25</v>
      </c>
      <c r="N39" s="59">
        <v>15</v>
      </c>
      <c r="P39" s="37"/>
      <c r="Q39" s="37"/>
      <c r="R39" s="37"/>
      <c r="T39" s="37"/>
      <c r="U39" s="37"/>
      <c r="V39" s="37"/>
      <c r="W39" s="12"/>
      <c r="X39" s="37"/>
      <c r="Y39" s="37"/>
      <c r="Z39" s="37"/>
      <c r="AA39" s="12"/>
      <c r="AB39" s="37"/>
      <c r="AC39" s="37"/>
      <c r="AD39" s="37"/>
      <c r="AE39" s="37"/>
      <c r="AF39" s="37"/>
      <c r="AG39" s="37"/>
      <c r="AH39" s="12"/>
      <c r="AI39" s="37"/>
      <c r="AJ39" s="37"/>
      <c r="AK39" s="37"/>
      <c r="AL39" s="12"/>
      <c r="AM39" s="51">
        <f t="shared" si="9"/>
        <v>22</v>
      </c>
      <c r="AN39" s="51">
        <f t="shared" si="9"/>
        <v>22</v>
      </c>
      <c r="AO39" s="51">
        <f t="shared" si="9"/>
        <v>12</v>
      </c>
      <c r="AP39" s="37">
        <f t="shared" si="10"/>
        <v>25</v>
      </c>
      <c r="AQ39" s="37">
        <f t="shared" si="11"/>
        <v>25</v>
      </c>
      <c r="AR39" s="37">
        <f t="shared" si="12"/>
        <v>15</v>
      </c>
      <c r="AS39" s="37">
        <f t="shared" si="13"/>
        <v>25</v>
      </c>
      <c r="AT39" s="37">
        <f t="shared" si="14"/>
        <v>25</v>
      </c>
      <c r="AU39" s="37">
        <f t="shared" si="15"/>
        <v>15</v>
      </c>
      <c r="AV39" s="37"/>
      <c r="AW39" s="37"/>
      <c r="AX39" s="37"/>
      <c r="AY39" s="37"/>
      <c r="AZ39" s="37"/>
      <c r="BA39" s="37"/>
      <c r="BB39" s="37"/>
      <c r="BC39" s="37"/>
      <c r="BD39" s="37"/>
    </row>
    <row r="40" spans="1:56" ht="13.2" customHeight="1">
      <c r="B40" s="54" t="s">
        <v>158</v>
      </c>
      <c r="C40" s="58">
        <v>22</v>
      </c>
      <c r="D40" s="37">
        <v>22</v>
      </c>
      <c r="E40" s="59">
        <v>12</v>
      </c>
      <c r="F40" s="58">
        <v>25</v>
      </c>
      <c r="G40" s="37">
        <v>25</v>
      </c>
      <c r="H40" s="59">
        <v>15</v>
      </c>
      <c r="I40" s="58">
        <v>22</v>
      </c>
      <c r="J40" s="37">
        <v>22</v>
      </c>
      <c r="K40" s="59">
        <v>12</v>
      </c>
      <c r="L40" s="58">
        <v>25</v>
      </c>
      <c r="M40" s="37">
        <v>25</v>
      </c>
      <c r="N40" s="59">
        <v>15</v>
      </c>
      <c r="P40" s="37"/>
      <c r="Q40" s="37"/>
      <c r="R40" s="37"/>
      <c r="T40" s="37"/>
      <c r="U40" s="37"/>
      <c r="V40" s="37"/>
      <c r="W40" s="12"/>
      <c r="X40" s="37"/>
      <c r="Y40" s="37"/>
      <c r="Z40" s="37"/>
      <c r="AA40" s="12"/>
      <c r="AB40" s="37"/>
      <c r="AC40" s="37">
        <v>15</v>
      </c>
      <c r="AD40" s="37"/>
      <c r="AE40" s="37"/>
      <c r="AF40" s="37">
        <v>15</v>
      </c>
      <c r="AG40" s="37"/>
      <c r="AH40" s="12"/>
      <c r="AI40" s="37"/>
      <c r="AJ40" s="37"/>
      <c r="AK40" s="37"/>
      <c r="AL40" s="12"/>
      <c r="AM40" s="51">
        <f t="shared" si="9"/>
        <v>22</v>
      </c>
      <c r="AN40" s="51">
        <f t="shared" si="9"/>
        <v>37</v>
      </c>
      <c r="AO40" s="51">
        <f t="shared" si="9"/>
        <v>12</v>
      </c>
      <c r="AP40" s="37">
        <f t="shared" si="10"/>
        <v>25</v>
      </c>
      <c r="AQ40" s="37">
        <f t="shared" si="11"/>
        <v>40</v>
      </c>
      <c r="AR40" s="37">
        <f t="shared" si="12"/>
        <v>15</v>
      </c>
      <c r="AS40" s="37">
        <f t="shared" si="13"/>
        <v>25</v>
      </c>
      <c r="AT40" s="37">
        <f t="shared" si="14"/>
        <v>40</v>
      </c>
      <c r="AU40" s="37">
        <f t="shared" si="15"/>
        <v>15</v>
      </c>
      <c r="AV40" s="37"/>
      <c r="AW40" s="37"/>
      <c r="AX40" s="37"/>
      <c r="AY40" s="37"/>
      <c r="AZ40" s="37"/>
      <c r="BA40" s="37"/>
      <c r="BB40" s="37"/>
      <c r="BC40" s="37"/>
      <c r="BD40" s="37"/>
    </row>
    <row r="41" spans="1:56" ht="13.2" customHeight="1">
      <c r="B41" s="54" t="s">
        <v>9</v>
      </c>
      <c r="C41" s="58">
        <v>22</v>
      </c>
      <c r="D41" s="37">
        <v>22</v>
      </c>
      <c r="E41" s="59">
        <v>12</v>
      </c>
      <c r="F41" s="58">
        <v>25</v>
      </c>
      <c r="G41" s="37">
        <v>25</v>
      </c>
      <c r="H41" s="59">
        <v>15</v>
      </c>
      <c r="I41" s="58">
        <v>22</v>
      </c>
      <c r="J41" s="37">
        <v>22</v>
      </c>
      <c r="K41" s="59">
        <v>12</v>
      </c>
      <c r="L41" s="58">
        <v>25</v>
      </c>
      <c r="M41" s="37">
        <v>25</v>
      </c>
      <c r="N41" s="59">
        <v>15</v>
      </c>
      <c r="P41" s="37"/>
      <c r="Q41" s="37"/>
      <c r="R41" s="37"/>
      <c r="T41" s="37"/>
      <c r="U41" s="37"/>
      <c r="V41" s="37"/>
      <c r="W41" s="12"/>
      <c r="X41" s="37"/>
      <c r="Y41" s="37"/>
      <c r="Z41" s="37"/>
      <c r="AA41" s="12"/>
      <c r="AB41" s="37"/>
      <c r="AC41" s="37"/>
      <c r="AD41" s="37"/>
      <c r="AE41" s="37"/>
      <c r="AF41" s="37"/>
      <c r="AG41" s="37"/>
      <c r="AH41" s="12"/>
      <c r="AI41" s="37"/>
      <c r="AJ41" s="37"/>
      <c r="AK41" s="37"/>
      <c r="AL41" s="12"/>
      <c r="AM41" s="51">
        <f t="shared" si="9"/>
        <v>22</v>
      </c>
      <c r="AN41" s="51">
        <f t="shared" si="9"/>
        <v>22</v>
      </c>
      <c r="AO41" s="51">
        <f t="shared" si="9"/>
        <v>12</v>
      </c>
      <c r="AP41" s="37">
        <f t="shared" si="10"/>
        <v>25</v>
      </c>
      <c r="AQ41" s="37">
        <f t="shared" si="11"/>
        <v>25</v>
      </c>
      <c r="AR41" s="37">
        <f t="shared" si="12"/>
        <v>15</v>
      </c>
      <c r="AS41" s="37">
        <f t="shared" si="13"/>
        <v>25</v>
      </c>
      <c r="AT41" s="37">
        <f t="shared" si="14"/>
        <v>25</v>
      </c>
      <c r="AU41" s="37">
        <f t="shared" si="15"/>
        <v>15</v>
      </c>
      <c r="AV41" s="37"/>
      <c r="AW41" s="37"/>
      <c r="AX41" s="37"/>
      <c r="AY41" s="37"/>
      <c r="AZ41" s="37"/>
      <c r="BA41" s="37"/>
      <c r="BB41" s="37"/>
      <c r="BC41" s="37"/>
      <c r="BD41" s="37"/>
    </row>
    <row r="42" spans="1:56" ht="13.2" customHeight="1">
      <c r="B42" s="54" t="s">
        <v>159</v>
      </c>
      <c r="C42" s="58">
        <v>22</v>
      </c>
      <c r="D42" s="37">
        <v>22</v>
      </c>
      <c r="E42" s="59">
        <v>12</v>
      </c>
      <c r="F42" s="58">
        <v>25</v>
      </c>
      <c r="G42" s="37">
        <v>25</v>
      </c>
      <c r="H42" s="59">
        <v>15</v>
      </c>
      <c r="I42" s="58">
        <v>22</v>
      </c>
      <c r="J42" s="37">
        <v>22</v>
      </c>
      <c r="K42" s="59">
        <v>12</v>
      </c>
      <c r="L42" s="58">
        <v>25</v>
      </c>
      <c r="M42" s="37">
        <v>25</v>
      </c>
      <c r="N42" s="59">
        <v>15</v>
      </c>
      <c r="P42" s="37"/>
      <c r="Q42" s="37"/>
      <c r="R42" s="37"/>
      <c r="T42" s="37"/>
      <c r="U42" s="37"/>
      <c r="V42" s="37"/>
      <c r="W42" s="12"/>
      <c r="X42" s="37"/>
      <c r="Y42" s="37"/>
      <c r="Z42" s="37"/>
      <c r="AA42" s="12"/>
      <c r="AB42" s="37"/>
      <c r="AC42" s="37"/>
      <c r="AD42" s="37"/>
      <c r="AE42" s="37"/>
      <c r="AF42" s="37"/>
      <c r="AG42" s="37"/>
      <c r="AH42" s="12"/>
      <c r="AI42" s="37"/>
      <c r="AJ42" s="37"/>
      <c r="AK42" s="37"/>
      <c r="AL42" s="12"/>
      <c r="AM42" s="51">
        <f t="shared" si="9"/>
        <v>22</v>
      </c>
      <c r="AN42" s="51">
        <f t="shared" si="9"/>
        <v>22</v>
      </c>
      <c r="AO42" s="51">
        <f t="shared" si="9"/>
        <v>12</v>
      </c>
      <c r="AP42" s="37">
        <f t="shared" si="10"/>
        <v>25</v>
      </c>
      <c r="AQ42" s="37">
        <f t="shared" si="11"/>
        <v>25</v>
      </c>
      <c r="AR42" s="37">
        <f t="shared" si="12"/>
        <v>15</v>
      </c>
      <c r="AS42" s="37">
        <f t="shared" si="13"/>
        <v>25</v>
      </c>
      <c r="AT42" s="37">
        <f t="shared" si="14"/>
        <v>25</v>
      </c>
      <c r="AU42" s="37">
        <f t="shared" si="15"/>
        <v>15</v>
      </c>
      <c r="AV42" s="37"/>
      <c r="AW42" s="37"/>
      <c r="AX42" s="37"/>
      <c r="AY42" s="37"/>
      <c r="AZ42" s="37"/>
      <c r="BA42" s="37"/>
      <c r="BB42" s="37"/>
      <c r="BC42" s="37"/>
      <c r="BD42" s="37"/>
    </row>
    <row r="43" spans="1:56" ht="13.2" customHeight="1">
      <c r="B43" s="54" t="s">
        <v>22</v>
      </c>
      <c r="C43" s="58">
        <v>19</v>
      </c>
      <c r="D43" s="37">
        <v>19</v>
      </c>
      <c r="E43" s="59">
        <v>12</v>
      </c>
      <c r="F43" s="58">
        <v>23</v>
      </c>
      <c r="G43" s="37">
        <v>23</v>
      </c>
      <c r="H43" s="59">
        <v>15</v>
      </c>
      <c r="I43" s="58">
        <v>19</v>
      </c>
      <c r="J43" s="37">
        <v>19</v>
      </c>
      <c r="K43" s="59">
        <v>12</v>
      </c>
      <c r="L43" s="58">
        <v>23</v>
      </c>
      <c r="M43" s="37">
        <v>23</v>
      </c>
      <c r="N43" s="59">
        <v>15</v>
      </c>
      <c r="P43" s="38"/>
      <c r="Q43" s="38"/>
      <c r="R43" s="38"/>
      <c r="T43" s="38"/>
      <c r="U43" s="38"/>
      <c r="V43" s="38"/>
      <c r="W43" s="12"/>
      <c r="X43" s="38"/>
      <c r="Y43" s="38"/>
      <c r="Z43" s="38"/>
      <c r="AA43" s="12"/>
      <c r="AB43" s="38"/>
      <c r="AC43" s="38"/>
      <c r="AD43" s="38"/>
      <c r="AE43" s="38">
        <v>7</v>
      </c>
      <c r="AF43" s="38">
        <v>12</v>
      </c>
      <c r="AG43" s="38"/>
      <c r="AH43" s="12"/>
      <c r="AI43" s="38"/>
      <c r="AJ43" s="38"/>
      <c r="AK43" s="38"/>
      <c r="AL43" s="12"/>
      <c r="AM43" s="51">
        <f t="shared" si="9"/>
        <v>19</v>
      </c>
      <c r="AN43" s="51">
        <f t="shared" si="9"/>
        <v>19</v>
      </c>
      <c r="AO43" s="51">
        <f t="shared" si="9"/>
        <v>12</v>
      </c>
      <c r="AP43" s="37">
        <f t="shared" si="10"/>
        <v>30</v>
      </c>
      <c r="AQ43" s="37">
        <f t="shared" si="11"/>
        <v>35</v>
      </c>
      <c r="AR43" s="37">
        <f t="shared" si="12"/>
        <v>15</v>
      </c>
      <c r="AS43" s="37">
        <f t="shared" si="13"/>
        <v>30</v>
      </c>
      <c r="AT43" s="37">
        <f t="shared" si="14"/>
        <v>35</v>
      </c>
      <c r="AU43" s="37">
        <f t="shared" si="15"/>
        <v>15</v>
      </c>
      <c r="AV43" s="37"/>
      <c r="AW43" s="37"/>
      <c r="AX43" s="37"/>
      <c r="AY43" s="37"/>
      <c r="AZ43" s="37"/>
      <c r="BA43" s="37"/>
      <c r="BB43" s="37"/>
      <c r="BC43" s="37"/>
      <c r="BD43" s="37"/>
    </row>
    <row r="44" spans="1:56" ht="13.2" customHeight="1">
      <c r="B44" s="54" t="s">
        <v>180</v>
      </c>
      <c r="C44" s="58"/>
      <c r="D44" s="37"/>
      <c r="E44" s="59"/>
      <c r="F44" s="58"/>
      <c r="G44" s="37"/>
      <c r="H44" s="59"/>
      <c r="I44" s="58"/>
      <c r="J44" s="37"/>
      <c r="K44" s="59"/>
      <c r="L44" s="58"/>
      <c r="M44" s="37"/>
      <c r="N44" s="59"/>
      <c r="P44" s="38"/>
      <c r="Q44" s="38"/>
      <c r="R44" s="38"/>
      <c r="T44" s="38"/>
      <c r="U44" s="38"/>
      <c r="V44" s="38"/>
      <c r="W44" s="12"/>
      <c r="X44" s="38"/>
      <c r="Y44" s="38"/>
      <c r="Z44" s="38"/>
      <c r="AA44" s="12"/>
      <c r="AB44" s="38">
        <v>10</v>
      </c>
      <c r="AC44" s="38"/>
      <c r="AD44" s="38"/>
      <c r="AE44" s="38">
        <v>10</v>
      </c>
      <c r="AF44" s="38">
        <v>10</v>
      </c>
      <c r="AG44" s="38"/>
      <c r="AH44" s="12"/>
      <c r="AI44" s="38"/>
      <c r="AJ44" s="38"/>
      <c r="AK44" s="38"/>
      <c r="AL44" s="12"/>
      <c r="AM44" s="51">
        <f t="shared" si="9"/>
        <v>10</v>
      </c>
      <c r="AN44" s="51">
        <f t="shared" si="9"/>
        <v>0</v>
      </c>
      <c r="AO44" s="51">
        <f t="shared" si="9"/>
        <v>0</v>
      </c>
      <c r="AP44" s="37">
        <f t="shared" si="10"/>
        <v>10</v>
      </c>
      <c r="AQ44" s="37">
        <f t="shared" si="11"/>
        <v>10</v>
      </c>
      <c r="AR44" s="37">
        <f t="shared" si="12"/>
        <v>0</v>
      </c>
      <c r="AS44" s="37">
        <f t="shared" si="13"/>
        <v>10</v>
      </c>
      <c r="AT44" s="37">
        <f t="shared" si="14"/>
        <v>10</v>
      </c>
      <c r="AU44" s="37">
        <f t="shared" si="15"/>
        <v>0</v>
      </c>
      <c r="AV44" s="37"/>
      <c r="AW44" s="37"/>
      <c r="AX44" s="37"/>
      <c r="AY44" s="37"/>
      <c r="AZ44" s="37"/>
      <c r="BA44" s="37"/>
      <c r="BB44" s="37"/>
      <c r="BC44" s="37"/>
      <c r="BD44" s="37"/>
    </row>
    <row r="45" spans="1:56" ht="13.2" customHeight="1">
      <c r="A45" s="39"/>
      <c r="B45" s="53" t="s">
        <v>165</v>
      </c>
      <c r="C45" s="58">
        <v>19</v>
      </c>
      <c r="D45" s="37">
        <v>19</v>
      </c>
      <c r="E45" s="59">
        <v>12</v>
      </c>
      <c r="F45" s="58">
        <v>23</v>
      </c>
      <c r="G45" s="37">
        <v>23</v>
      </c>
      <c r="H45" s="59">
        <v>15</v>
      </c>
      <c r="I45" s="58">
        <v>19</v>
      </c>
      <c r="J45" s="37">
        <v>19</v>
      </c>
      <c r="K45" s="59">
        <v>12</v>
      </c>
      <c r="L45" s="58">
        <v>23</v>
      </c>
      <c r="M45" s="37">
        <v>23</v>
      </c>
      <c r="N45" s="59">
        <v>15</v>
      </c>
      <c r="O45" s="39"/>
      <c r="P45" s="38">
        <v>13</v>
      </c>
      <c r="Q45" s="38">
        <v>13</v>
      </c>
      <c r="R45" s="38">
        <v>5</v>
      </c>
      <c r="S45" s="39"/>
      <c r="T45" s="38"/>
      <c r="U45" s="38"/>
      <c r="V45" s="38"/>
      <c r="W45" s="12"/>
      <c r="X45" s="38"/>
      <c r="Y45" s="38"/>
      <c r="Z45" s="38"/>
      <c r="AA45" s="12"/>
      <c r="AB45" s="38"/>
      <c r="AC45" s="38"/>
      <c r="AD45" s="38"/>
      <c r="AE45" s="38"/>
      <c r="AF45" s="38"/>
      <c r="AG45" s="38"/>
      <c r="AH45" s="12"/>
      <c r="AI45" s="38"/>
      <c r="AJ45" s="38"/>
      <c r="AK45" s="38"/>
      <c r="AL45" s="12"/>
      <c r="AM45" s="51">
        <f t="shared" si="9"/>
        <v>19</v>
      </c>
      <c r="AN45" s="51">
        <f t="shared" si="9"/>
        <v>19</v>
      </c>
      <c r="AO45" s="51">
        <f t="shared" si="9"/>
        <v>12</v>
      </c>
      <c r="AP45" s="37">
        <f t="shared" si="10"/>
        <v>23</v>
      </c>
      <c r="AQ45" s="37">
        <f t="shared" si="11"/>
        <v>23</v>
      </c>
      <c r="AR45" s="37">
        <f t="shared" si="12"/>
        <v>15</v>
      </c>
      <c r="AS45" s="37">
        <f t="shared" si="13"/>
        <v>36</v>
      </c>
      <c r="AT45" s="37">
        <f t="shared" si="14"/>
        <v>36</v>
      </c>
      <c r="AU45" s="37">
        <f t="shared" si="15"/>
        <v>20</v>
      </c>
      <c r="AV45" s="37"/>
      <c r="AW45" s="37"/>
      <c r="AX45" s="37"/>
      <c r="AY45" s="37"/>
      <c r="AZ45" s="37"/>
      <c r="BA45" s="37"/>
      <c r="BB45" s="37"/>
      <c r="BC45" s="37"/>
      <c r="BD45" s="37"/>
    </row>
    <row r="46" spans="1:56" ht="13.2" customHeight="1">
      <c r="B46" s="54" t="s">
        <v>166</v>
      </c>
      <c r="C46" s="58">
        <v>19</v>
      </c>
      <c r="D46" s="37">
        <v>19</v>
      </c>
      <c r="E46" s="59">
        <v>12</v>
      </c>
      <c r="F46" s="58">
        <v>23</v>
      </c>
      <c r="G46" s="37">
        <v>23</v>
      </c>
      <c r="H46" s="59">
        <v>15</v>
      </c>
      <c r="I46" s="58">
        <v>19</v>
      </c>
      <c r="J46" s="37">
        <v>19</v>
      </c>
      <c r="K46" s="59">
        <v>12</v>
      </c>
      <c r="L46" s="58">
        <v>23</v>
      </c>
      <c r="M46" s="37">
        <v>23</v>
      </c>
      <c r="N46" s="59">
        <v>15</v>
      </c>
      <c r="P46" s="38"/>
      <c r="Q46" s="38"/>
      <c r="R46" s="38"/>
      <c r="T46" s="38"/>
      <c r="U46" s="38"/>
      <c r="V46" s="38"/>
      <c r="W46" s="12"/>
      <c r="X46" s="38"/>
      <c r="Y46" s="38"/>
      <c r="Z46" s="38"/>
      <c r="AA46" s="12"/>
      <c r="AB46" s="38"/>
      <c r="AC46" s="38"/>
      <c r="AD46" s="38"/>
      <c r="AE46" s="38"/>
      <c r="AF46" s="38"/>
      <c r="AG46" s="38"/>
      <c r="AH46" s="12"/>
      <c r="AI46" s="38"/>
      <c r="AJ46" s="38"/>
      <c r="AK46" s="38"/>
      <c r="AL46" s="12"/>
      <c r="AM46" s="51">
        <f t="shared" si="9"/>
        <v>19</v>
      </c>
      <c r="AN46" s="51">
        <f t="shared" si="9"/>
        <v>19</v>
      </c>
      <c r="AO46" s="51">
        <f t="shared" si="9"/>
        <v>12</v>
      </c>
      <c r="AP46" s="37">
        <f t="shared" si="10"/>
        <v>23</v>
      </c>
      <c r="AQ46" s="37">
        <f t="shared" si="11"/>
        <v>23</v>
      </c>
      <c r="AR46" s="37">
        <f t="shared" si="12"/>
        <v>15</v>
      </c>
      <c r="AS46" s="37">
        <f t="shared" si="13"/>
        <v>23</v>
      </c>
      <c r="AT46" s="37">
        <f t="shared" si="14"/>
        <v>23</v>
      </c>
      <c r="AU46" s="37">
        <f t="shared" si="15"/>
        <v>15</v>
      </c>
      <c r="AV46" s="37"/>
      <c r="AW46" s="37"/>
      <c r="AX46" s="37"/>
      <c r="AY46" s="37"/>
      <c r="AZ46" s="37"/>
      <c r="BA46" s="37"/>
      <c r="BB46" s="37"/>
      <c r="BC46" s="37"/>
      <c r="BD46" s="37"/>
    </row>
    <row r="47" spans="1:56" ht="13.2" customHeight="1">
      <c r="B47" s="54" t="s">
        <v>160</v>
      </c>
      <c r="C47" s="58">
        <v>19</v>
      </c>
      <c r="D47" s="37">
        <v>19</v>
      </c>
      <c r="E47" s="59">
        <v>12</v>
      </c>
      <c r="F47" s="58">
        <v>23</v>
      </c>
      <c r="G47" s="37">
        <v>23</v>
      </c>
      <c r="H47" s="59">
        <v>15</v>
      </c>
      <c r="I47" s="58">
        <v>19</v>
      </c>
      <c r="J47" s="37">
        <v>19</v>
      </c>
      <c r="K47" s="59">
        <v>12</v>
      </c>
      <c r="L47" s="58">
        <v>23</v>
      </c>
      <c r="M47" s="37">
        <v>23</v>
      </c>
      <c r="N47" s="59">
        <v>15</v>
      </c>
      <c r="P47" s="38"/>
      <c r="Q47" s="38"/>
      <c r="R47" s="38"/>
      <c r="T47" s="38"/>
      <c r="U47" s="38"/>
      <c r="V47" s="38"/>
      <c r="W47" s="12"/>
      <c r="X47" s="38"/>
      <c r="Y47" s="38"/>
      <c r="Z47" s="38"/>
      <c r="AA47" s="12"/>
      <c r="AB47" s="38">
        <v>7</v>
      </c>
      <c r="AC47" s="38">
        <v>7</v>
      </c>
      <c r="AD47" s="38"/>
      <c r="AE47" s="38">
        <v>14</v>
      </c>
      <c r="AF47" s="38">
        <v>14</v>
      </c>
      <c r="AG47" s="38"/>
      <c r="AH47" s="12"/>
      <c r="AI47" s="38"/>
      <c r="AJ47" s="38"/>
      <c r="AK47" s="38"/>
      <c r="AL47" s="12"/>
      <c r="AM47" s="51">
        <f t="shared" si="9"/>
        <v>26</v>
      </c>
      <c r="AN47" s="51">
        <f t="shared" si="9"/>
        <v>26</v>
      </c>
      <c r="AO47" s="51">
        <f t="shared" si="9"/>
        <v>12</v>
      </c>
      <c r="AP47" s="37">
        <f t="shared" si="10"/>
        <v>37</v>
      </c>
      <c r="AQ47" s="37">
        <f t="shared" si="11"/>
        <v>37</v>
      </c>
      <c r="AR47" s="37">
        <f t="shared" si="12"/>
        <v>15</v>
      </c>
      <c r="AS47" s="37">
        <f t="shared" si="13"/>
        <v>37</v>
      </c>
      <c r="AT47" s="37">
        <f t="shared" si="14"/>
        <v>37</v>
      </c>
      <c r="AU47" s="37">
        <f t="shared" si="15"/>
        <v>15</v>
      </c>
      <c r="AV47" s="37"/>
      <c r="AW47" s="37"/>
      <c r="AX47" s="37"/>
      <c r="AY47" s="37"/>
      <c r="AZ47" s="37"/>
      <c r="BA47" s="37"/>
      <c r="BB47" s="37"/>
      <c r="BC47" s="37"/>
      <c r="BD47" s="37"/>
    </row>
    <row r="48" spans="1:56" ht="13.2" customHeight="1">
      <c r="B48" s="54" t="s">
        <v>161</v>
      </c>
      <c r="C48" s="58">
        <v>19</v>
      </c>
      <c r="D48" s="37">
        <v>19</v>
      </c>
      <c r="E48" s="59">
        <v>12</v>
      </c>
      <c r="F48" s="58">
        <v>23</v>
      </c>
      <c r="G48" s="37">
        <v>23</v>
      </c>
      <c r="H48" s="59">
        <v>15</v>
      </c>
      <c r="I48" s="58">
        <v>19</v>
      </c>
      <c r="J48" s="37">
        <v>19</v>
      </c>
      <c r="K48" s="59">
        <v>12</v>
      </c>
      <c r="L48" s="58">
        <v>23</v>
      </c>
      <c r="M48" s="37">
        <v>23</v>
      </c>
      <c r="N48" s="59">
        <v>15</v>
      </c>
      <c r="P48" s="38">
        <v>13</v>
      </c>
      <c r="Q48" s="38">
        <v>13</v>
      </c>
      <c r="R48" s="38">
        <v>5</v>
      </c>
      <c r="T48" s="38"/>
      <c r="U48" s="38"/>
      <c r="V48" s="38"/>
      <c r="W48" s="12"/>
      <c r="X48" s="38"/>
      <c r="Y48" s="38"/>
      <c r="Z48" s="38"/>
      <c r="AA48" s="12"/>
      <c r="AB48" s="38"/>
      <c r="AC48" s="38"/>
      <c r="AD48" s="38"/>
      <c r="AE48" s="38"/>
      <c r="AF48" s="38"/>
      <c r="AG48" s="38"/>
      <c r="AH48" s="12"/>
      <c r="AI48" s="38"/>
      <c r="AJ48" s="38"/>
      <c r="AK48" s="38"/>
      <c r="AL48" s="12"/>
      <c r="AM48" s="51">
        <f t="shared" si="9"/>
        <v>19</v>
      </c>
      <c r="AN48" s="51">
        <f t="shared" si="9"/>
        <v>19</v>
      </c>
      <c r="AO48" s="51">
        <f t="shared" si="9"/>
        <v>12</v>
      </c>
      <c r="AP48" s="37">
        <f t="shared" si="10"/>
        <v>23</v>
      </c>
      <c r="AQ48" s="37">
        <f t="shared" si="11"/>
        <v>23</v>
      </c>
      <c r="AR48" s="37">
        <f t="shared" si="12"/>
        <v>15</v>
      </c>
      <c r="AS48" s="37">
        <f t="shared" si="13"/>
        <v>36</v>
      </c>
      <c r="AT48" s="37">
        <f t="shared" si="14"/>
        <v>36</v>
      </c>
      <c r="AU48" s="37">
        <f t="shared" si="15"/>
        <v>20</v>
      </c>
      <c r="AV48" s="37"/>
      <c r="AW48" s="37"/>
      <c r="AX48" s="37"/>
      <c r="AY48" s="37"/>
      <c r="AZ48" s="37"/>
      <c r="BA48" s="37"/>
      <c r="BB48" s="37"/>
      <c r="BC48" s="37"/>
      <c r="BD48" s="37"/>
    </row>
    <row r="49" spans="2:56" ht="13.2" customHeight="1">
      <c r="B49" s="54" t="s">
        <v>162</v>
      </c>
      <c r="C49" s="58">
        <v>19</v>
      </c>
      <c r="D49" s="37">
        <v>19</v>
      </c>
      <c r="E49" s="59">
        <v>12</v>
      </c>
      <c r="F49" s="58">
        <v>23</v>
      </c>
      <c r="G49" s="37">
        <v>23</v>
      </c>
      <c r="H49" s="59">
        <v>15</v>
      </c>
      <c r="I49" s="58">
        <v>19</v>
      </c>
      <c r="J49" s="37">
        <v>19</v>
      </c>
      <c r="K49" s="59">
        <v>12</v>
      </c>
      <c r="L49" s="58">
        <v>23</v>
      </c>
      <c r="M49" s="37">
        <v>23</v>
      </c>
      <c r="N49" s="59">
        <v>15</v>
      </c>
      <c r="P49" s="38">
        <v>13</v>
      </c>
      <c r="Q49" s="38">
        <v>13</v>
      </c>
      <c r="R49" s="38">
        <v>5</v>
      </c>
      <c r="T49" s="38"/>
      <c r="U49" s="38"/>
      <c r="V49" s="38"/>
      <c r="W49" s="12"/>
      <c r="X49" s="38"/>
      <c r="Y49" s="38"/>
      <c r="Z49" s="38"/>
      <c r="AA49" s="12"/>
      <c r="AB49" s="38"/>
      <c r="AC49" s="38"/>
      <c r="AD49" s="38"/>
      <c r="AE49" s="38"/>
      <c r="AF49" s="38"/>
      <c r="AG49" s="38"/>
      <c r="AH49" s="12"/>
      <c r="AI49" s="38"/>
      <c r="AJ49" s="38"/>
      <c r="AK49" s="38"/>
      <c r="AL49" s="12"/>
      <c r="AM49" s="51">
        <f t="shared" si="9"/>
        <v>19</v>
      </c>
      <c r="AN49" s="51">
        <f t="shared" si="9"/>
        <v>19</v>
      </c>
      <c r="AO49" s="51">
        <f t="shared" si="9"/>
        <v>12</v>
      </c>
      <c r="AP49" s="37">
        <f t="shared" si="10"/>
        <v>23</v>
      </c>
      <c r="AQ49" s="37">
        <f t="shared" si="11"/>
        <v>23</v>
      </c>
      <c r="AR49" s="37">
        <f t="shared" si="12"/>
        <v>15</v>
      </c>
      <c r="AS49" s="37">
        <f t="shared" si="13"/>
        <v>36</v>
      </c>
      <c r="AT49" s="37">
        <f t="shared" si="14"/>
        <v>36</v>
      </c>
      <c r="AU49" s="37">
        <f t="shared" si="15"/>
        <v>20</v>
      </c>
      <c r="AV49" s="37"/>
      <c r="AW49" s="37"/>
      <c r="AX49" s="37"/>
      <c r="AY49" s="37"/>
      <c r="AZ49" s="37"/>
      <c r="BA49" s="37"/>
      <c r="BB49" s="37"/>
      <c r="BC49" s="37"/>
      <c r="BD49" s="37"/>
    </row>
    <row r="50" spans="2:56" ht="13.2" customHeight="1">
      <c r="B50" s="54" t="s">
        <v>167</v>
      </c>
      <c r="C50" s="58"/>
      <c r="D50" s="37"/>
      <c r="E50" s="59"/>
      <c r="F50" s="58"/>
      <c r="G50" s="37"/>
      <c r="H50" s="59"/>
      <c r="I50" s="58"/>
      <c r="J50" s="37"/>
      <c r="K50" s="59"/>
      <c r="L50" s="58"/>
      <c r="M50" s="37"/>
      <c r="N50" s="59"/>
      <c r="P50" s="37"/>
      <c r="Q50" s="37"/>
      <c r="R50" s="37"/>
      <c r="T50" s="37"/>
      <c r="U50" s="37"/>
      <c r="V50" s="37"/>
      <c r="W50" s="12"/>
      <c r="X50" s="37"/>
      <c r="Y50" s="37"/>
      <c r="Z50" s="37"/>
      <c r="AA50" s="12"/>
      <c r="AB50" s="37"/>
      <c r="AC50" s="37"/>
      <c r="AD50" s="37"/>
      <c r="AE50" s="37"/>
      <c r="AF50" s="37"/>
      <c r="AG50" s="37"/>
      <c r="AH50" s="12"/>
      <c r="AI50" s="37"/>
      <c r="AJ50" s="37"/>
      <c r="AK50" s="37"/>
      <c r="AL50" s="12"/>
      <c r="AM50" s="51">
        <f t="shared" si="9"/>
        <v>0</v>
      </c>
      <c r="AN50" s="51">
        <f t="shared" si="9"/>
        <v>0</v>
      </c>
      <c r="AO50" s="51">
        <f t="shared" si="9"/>
        <v>0</v>
      </c>
      <c r="AP50" s="37">
        <f t="shared" si="10"/>
        <v>0</v>
      </c>
      <c r="AQ50" s="37">
        <f t="shared" si="11"/>
        <v>0</v>
      </c>
      <c r="AR50" s="37">
        <f t="shared" si="12"/>
        <v>0</v>
      </c>
      <c r="AS50" s="37">
        <f t="shared" si="13"/>
        <v>0</v>
      </c>
      <c r="AT50" s="37">
        <f t="shared" si="14"/>
        <v>0</v>
      </c>
      <c r="AU50" s="37">
        <f t="shared" si="15"/>
        <v>0</v>
      </c>
      <c r="AV50" s="37"/>
      <c r="AW50" s="37"/>
      <c r="AX50" s="37"/>
      <c r="AY50" s="37"/>
      <c r="AZ50" s="37"/>
      <c r="BA50" s="37"/>
      <c r="BB50" s="37"/>
      <c r="BC50" s="37"/>
      <c r="BD50" s="37"/>
    </row>
    <row r="51" spans="2:56" ht="13.2" customHeight="1" thickBot="1">
      <c r="B51" s="55" t="s">
        <v>25</v>
      </c>
      <c r="C51" s="60">
        <v>18</v>
      </c>
      <c r="D51" s="61">
        <v>18</v>
      </c>
      <c r="E51" s="62">
        <v>10</v>
      </c>
      <c r="F51" s="60">
        <v>18</v>
      </c>
      <c r="G51" s="61">
        <v>18</v>
      </c>
      <c r="H51" s="62">
        <v>10</v>
      </c>
      <c r="I51" s="60">
        <v>18</v>
      </c>
      <c r="J51" s="61">
        <v>18</v>
      </c>
      <c r="K51" s="62">
        <v>10</v>
      </c>
      <c r="L51" s="60">
        <v>18</v>
      </c>
      <c r="M51" s="61">
        <v>18</v>
      </c>
      <c r="N51" s="62">
        <v>10</v>
      </c>
      <c r="P51" s="37"/>
      <c r="Q51" s="37"/>
      <c r="R51" s="37"/>
      <c r="T51" s="37"/>
      <c r="U51" s="37"/>
      <c r="V51" s="37"/>
      <c r="W51" s="12"/>
      <c r="X51" s="37"/>
      <c r="Y51" s="37"/>
      <c r="Z51" s="37"/>
      <c r="AA51" s="12"/>
      <c r="AB51" s="37"/>
      <c r="AC51" s="37"/>
      <c r="AD51" s="37"/>
      <c r="AE51" s="37"/>
      <c r="AF51" s="37"/>
      <c r="AG51" s="37"/>
      <c r="AH51" s="12"/>
      <c r="AI51" s="37"/>
      <c r="AJ51" s="37"/>
      <c r="AK51" s="37"/>
      <c r="AL51" s="12"/>
      <c r="AM51" s="51">
        <f t="shared" si="9"/>
        <v>18</v>
      </c>
      <c r="AN51" s="51">
        <f t="shared" si="9"/>
        <v>18</v>
      </c>
      <c r="AO51" s="51">
        <f t="shared" si="9"/>
        <v>10</v>
      </c>
      <c r="AP51" s="37">
        <f t="shared" si="10"/>
        <v>18</v>
      </c>
      <c r="AQ51" s="37">
        <f t="shared" si="11"/>
        <v>18</v>
      </c>
      <c r="AR51" s="37">
        <f t="shared" si="12"/>
        <v>10</v>
      </c>
      <c r="AS51" s="37">
        <f t="shared" si="13"/>
        <v>18</v>
      </c>
      <c r="AT51" s="37">
        <f t="shared" si="14"/>
        <v>18</v>
      </c>
      <c r="AU51" s="37">
        <f t="shared" si="15"/>
        <v>10</v>
      </c>
      <c r="AV51" s="37"/>
      <c r="AW51" s="37"/>
      <c r="AX51" s="37"/>
      <c r="AY51" s="37"/>
      <c r="AZ51" s="37"/>
      <c r="BA51" s="37"/>
      <c r="BB51" s="37"/>
      <c r="BC51" s="37"/>
      <c r="BD51" s="37"/>
    </row>
  </sheetData>
  <mergeCells count="17">
    <mergeCell ref="B2:B4"/>
    <mergeCell ref="C2:E3"/>
    <mergeCell ref="F2:H3"/>
    <mergeCell ref="P2:R3"/>
    <mergeCell ref="T2:V3"/>
    <mergeCell ref="BB2:BD3"/>
    <mergeCell ref="AS2:AU3"/>
    <mergeCell ref="AV2:AX3"/>
    <mergeCell ref="I2:K3"/>
    <mergeCell ref="L2:N3"/>
    <mergeCell ref="AM2:AO3"/>
    <mergeCell ref="AP2:AR3"/>
    <mergeCell ref="AY2:BA3"/>
    <mergeCell ref="X2:Z3"/>
    <mergeCell ref="AB2:AD3"/>
    <mergeCell ref="AE2:AG3"/>
    <mergeCell ref="AI2:AK3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2</vt:i4>
      </vt:variant>
    </vt:vector>
  </HeadingPairs>
  <TitlesOfParts>
    <vt:vector size="16" baseType="lpstr">
      <vt:lpstr>안내</vt:lpstr>
      <vt:lpstr>주요정책 및 유의사항</vt:lpstr>
      <vt:lpstr>Sheet1</vt:lpstr>
      <vt:lpstr>사내 MGM_1Q 1호(0101 ~)</vt:lpstr>
      <vt:lpstr>Sheet3</vt:lpstr>
      <vt:lpstr>Sheet2</vt:lpstr>
      <vt:lpstr>개별접수 URL</vt:lpstr>
      <vt:lpstr>사내 MGM_1Q 2호(0311 ~) (2)</vt:lpstr>
      <vt:lpstr>공시지원금</vt:lpstr>
      <vt:lpstr>정책적용 요금제_LTE</vt:lpstr>
      <vt:lpstr>정책적용 요금제_5G</vt:lpstr>
      <vt:lpstr>전환지원금_47K미만</vt:lpstr>
      <vt:lpstr>출고가</vt:lpstr>
      <vt:lpstr>구분자</vt:lpstr>
      <vt:lpstr>'사내 MGM_1Q 1호(0101 ~)'!Print_Area</vt:lpstr>
      <vt:lpstr>'사내 MGM_1Q 2호(0311 ~) (2)'!Print_Area</vt:lpstr>
    </vt:vector>
  </TitlesOfParts>
  <Company>KT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화정 서</cp:lastModifiedBy>
  <cp:lastPrinted>2023-03-22T08:49:12Z</cp:lastPrinted>
  <dcterms:created xsi:type="dcterms:W3CDTF">2017-07-19T10:11:14Z</dcterms:created>
  <dcterms:modified xsi:type="dcterms:W3CDTF">2026-03-23T04:48:33Z</dcterms:modified>
</cp:coreProperties>
</file>